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EstaPastaDeTrabalho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davisilva-mju\Downloads\"/>
    </mc:Choice>
  </mc:AlternateContent>
  <xr:revisionPtr revIDLastSave="0" documentId="13_ncr:1_{3F679B9A-992A-48FA-937E-9E7294234242}" xr6:coauthVersionLast="47" xr6:coauthVersionMax="47" xr10:uidLastSave="{00000000-0000-0000-0000-000000000000}"/>
  <bookViews>
    <workbookView xWindow="-28920" yWindow="-120" windowWidth="29040" windowHeight="15990" tabRatio="882" xr2:uid="{DEECADB0-8347-4277-BA36-188BBF8CE099}"/>
  </bookViews>
  <sheets>
    <sheet name="OC Padrão" sheetId="1" r:id="rId1"/>
  </sheets>
  <definedNames>
    <definedName name="_xlnm._FilterDatabase" localSheetId="0" hidden="1">'OC Padrão'!$B$16:$F$16</definedName>
    <definedName name="_xlnm.Print_Area" localSheetId="0">'OC Padrão'!$A$1:$L$46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30" i="1" l="1"/>
  <c r="F18" i="1" l="1"/>
  <c r="J22" i="1"/>
  <c r="F24" i="1"/>
  <c r="F16" i="1"/>
  <c r="D22" i="1"/>
  <c r="J25" i="1"/>
  <c r="D20" i="1"/>
  <c r="F26" i="1"/>
  <c r="J20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MATHIAS GUTIERREZ BARRON</author>
  </authors>
  <commentList>
    <comment ref="B10" authorId="0" shapeId="0" xr:uid="{FA4F254B-711F-423F-AF14-0D56B5C86C53}">
      <text>
        <r>
          <rPr>
            <b/>
            <sz val="9"/>
            <color indexed="81"/>
            <rFont val="Segoe UI"/>
            <family val="2"/>
          </rPr>
          <t>MATHIAS GUTIERREZ BARRON:</t>
        </r>
        <r>
          <rPr>
            <sz val="9"/>
            <color indexed="81"/>
            <rFont val="Segoe UI"/>
            <family val="2"/>
          </rPr>
          <t xml:space="preserve">
TIRAR PREFÊRENCIAL CONFORME SITE</t>
        </r>
      </text>
    </comment>
    <comment ref="D22" authorId="0" shapeId="0" xr:uid="{6D5EFAB1-A0F8-4B51-A0BD-A3C17225C40C}">
      <text>
        <r>
          <rPr>
            <b/>
            <sz val="9"/>
            <color indexed="81"/>
            <rFont val="Segoe UI"/>
            <family val="2"/>
          </rPr>
          <t>MATHIAS GUTIERREZ BARRON:</t>
        </r>
        <r>
          <rPr>
            <sz val="9"/>
            <color indexed="81"/>
            <rFont val="Segoe UI"/>
            <family val="2"/>
          </rPr>
          <t xml:space="preserve">
MUDAR - URUCUM- TUPACERY</t>
        </r>
      </text>
    </comment>
    <comment ref="J22" authorId="0" shapeId="0" xr:uid="{A81418C2-2035-4D7F-BC32-87E287E3F7B2}">
      <text>
        <r>
          <rPr>
            <b/>
            <sz val="9"/>
            <color indexed="81"/>
            <rFont val="Segoe UI"/>
            <family val="2"/>
          </rPr>
          <t>MATHIAS GUTIERREZ BARRON:</t>
        </r>
        <r>
          <rPr>
            <sz val="9"/>
            <color indexed="81"/>
            <rFont val="Segoe UI"/>
            <family val="2"/>
          </rPr>
          <t xml:space="preserve">
MUDAR DESTINO</t>
        </r>
      </text>
    </comment>
  </commentList>
</comments>
</file>

<file path=xl/sharedStrings.xml><?xml version="1.0" encoding="utf-8"?>
<sst xmlns="http://schemas.openxmlformats.org/spreadsheetml/2006/main" count="34" uniqueCount="30">
  <si>
    <t xml:space="preserve"> CNPJ 50.438.766/0003-92</t>
  </si>
  <si>
    <t>Filial</t>
  </si>
  <si>
    <t>Subcontratada</t>
  </si>
  <si>
    <t>*</t>
  </si>
  <si>
    <t>Motorista</t>
  </si>
  <si>
    <t>Cavalo</t>
  </si>
  <si>
    <t>Ultima Carreta</t>
  </si>
  <si>
    <t>Carregamento</t>
  </si>
  <si>
    <t>Destino</t>
  </si>
  <si>
    <t>Instrução</t>
  </si>
  <si>
    <t>Autorizado</t>
  </si>
  <si>
    <t>Validade</t>
  </si>
  <si>
    <t>a</t>
  </si>
  <si>
    <t>3° Confira seus dados(*) na OC assim como cavalo e última carreta.</t>
  </si>
  <si>
    <t>4° Antes de deixar a Mina, certifique-se:</t>
  </si>
  <si>
    <t>5° Certifique-se: recebimento valor do frete assim como o pedagio.</t>
  </si>
  <si>
    <t xml:space="preserve">6° Organize seu agendamento de descarga com nossa filial mais próxima </t>
  </si>
  <si>
    <t xml:space="preserve"> Erguer báscula dentro dos pátios. </t>
  </si>
  <si>
    <t xml:space="preserve">Nota Fiscal, CTE e MDFE estejam emitidos corretamente. </t>
  </si>
  <si>
    <t xml:space="preserve">ORDEM DE CARREGAMENTO                           </t>
  </si>
  <si>
    <t>Material</t>
  </si>
  <si>
    <t>MIRANDA - MS</t>
  </si>
  <si>
    <t>DAVI ASAF SILVA</t>
  </si>
  <si>
    <t>DESCARGA</t>
  </si>
  <si>
    <t>Após descarregar, enviar Foto do comprovante para baixa do MDFE.</t>
  </si>
  <si>
    <r>
      <t xml:space="preserve">1° </t>
    </r>
    <r>
      <rPr>
        <b/>
        <sz val="14"/>
        <color rgb="FFFF0000"/>
        <rFont val="Arial Narrow"/>
        <family val="2"/>
      </rPr>
      <t>Obrigatorio:</t>
    </r>
    <r>
      <rPr>
        <b/>
        <sz val="14"/>
        <color theme="1"/>
        <rFont val="Arial Narrow"/>
        <family val="2"/>
      </rPr>
      <t xml:space="preserve"> Uso de EPIS (capacete, calça, colete e botina).</t>
    </r>
  </si>
  <si>
    <t>Caçambas limpas para evitar contaminação do minério.</t>
  </si>
  <si>
    <r>
      <t xml:space="preserve">2° </t>
    </r>
    <r>
      <rPr>
        <b/>
        <sz val="14"/>
        <color rgb="FFFF0000"/>
        <rFont val="Arial Narrow"/>
        <family val="2"/>
      </rPr>
      <t>Proibido</t>
    </r>
    <r>
      <rPr>
        <b/>
        <sz val="14"/>
        <color theme="1"/>
        <rFont val="Arial Narrow"/>
        <family val="2"/>
      </rPr>
      <t xml:space="preserve">: Acompanhantes dentro do pátio de carregamento.	</t>
    </r>
  </si>
  <si>
    <t>IMPORTANTE LEIA COM ATENÇÃO</t>
  </si>
  <si>
    <t>ENVIAR COMPROVANTE DE DESCARGA PARA O NÚMERO (67) 99632-9066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</si>
</sst>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4"/>
      <color theme="0"/>
      <name val="Calibri"/>
      <family val="2"/>
      <scheme val="minor"/>
    </font>
    <font>
      <b/>
      <sz val="14"/>
      <color theme="1"/>
      <name val="Arial Narrow"/>
      <family val="2"/>
    </font>
    <font>
      <sz val="14"/>
      <color theme="1"/>
      <name val="Arial Narrow"/>
      <family val="2"/>
    </font>
    <font>
      <b/>
      <sz val="14"/>
      <color rgb="FFFF0000"/>
      <name val="Arial Narrow"/>
      <family val="2"/>
    </font>
    <font>
      <u/>
      <sz val="11"/>
      <color theme="10"/>
      <name val="Calibri"/>
      <family val="2"/>
      <scheme val="minor"/>
    </font>
    <font>
      <b/>
      <sz val="22"/>
      <color theme="0"/>
      <name val="Calibri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b/>
      <sz val="22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33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A7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50">
    <xf numFmtId="0" fontId="0" fillId="0" borderId="0" xfId="0"/>
    <xf numFmtId="0" fontId="0" fillId="2" borderId="0" xfId="0" applyFill="1"/>
    <xf numFmtId="0" fontId="3" fillId="2" borderId="0" xfId="0" applyFont="1" applyFill="1" applyAlignment="1">
      <alignment vertical="center"/>
    </xf>
    <xf numFmtId="0" fontId="1" fillId="0" borderId="0" xfId="0" applyFont="1" applyAlignment="1">
      <alignment horizontal="right"/>
    </xf>
    <xf numFmtId="0" fontId="0" fillId="2" borderId="0" xfId="0" applyFill="1" applyAlignment="1">
      <alignment horizontal="center"/>
    </xf>
    <xf numFmtId="0" fontId="2" fillId="2" borderId="0" xfId="0" applyFont="1" applyFill="1" applyAlignment="1">
      <alignment horizontal="center"/>
    </xf>
    <xf numFmtId="14" fontId="2" fillId="2" borderId="0" xfId="0" applyNumberFormat="1" applyFont="1" applyFill="1" applyAlignment="1">
      <alignment horizontal="center"/>
    </xf>
    <xf numFmtId="0" fontId="5" fillId="2" borderId="0" xfId="0" applyFont="1" applyFill="1"/>
    <xf numFmtId="0" fontId="2" fillId="0" borderId="0" xfId="0" applyFont="1"/>
    <xf numFmtId="0" fontId="7" fillId="0" borderId="0" xfId="1"/>
    <xf numFmtId="0" fontId="2" fillId="5" borderId="1" xfId="0" applyFont="1" applyFill="1" applyBorder="1" applyAlignment="1">
      <alignment horizontal="center"/>
    </xf>
    <xf numFmtId="0" fontId="2" fillId="0" borderId="0" xfId="0" applyFont="1" applyFill="1" applyBorder="1" applyAlignment="1">
      <alignment horizontal="center"/>
    </xf>
    <xf numFmtId="0" fontId="0" fillId="2" borderId="10" xfId="0" applyFill="1" applyBorder="1"/>
    <xf numFmtId="0" fontId="0" fillId="2" borderId="0" xfId="0" applyFill="1" applyBorder="1"/>
    <xf numFmtId="0" fontId="0" fillId="2" borderId="9" xfId="0" applyFill="1" applyBorder="1"/>
    <xf numFmtId="0" fontId="15" fillId="2" borderId="0" xfId="0" applyFont="1" applyFill="1"/>
    <xf numFmtId="0" fontId="1" fillId="2" borderId="0" xfId="0" applyFont="1" applyFill="1" applyAlignment="1">
      <alignment horizontal="left" indent="3"/>
    </xf>
    <xf numFmtId="0" fontId="4" fillId="6" borderId="10" xfId="0" applyFont="1" applyFill="1" applyBorder="1" applyAlignment="1">
      <alignment horizontal="left"/>
    </xf>
    <xf numFmtId="0" fontId="4" fillId="6" borderId="0" xfId="0" applyFont="1" applyFill="1" applyBorder="1" applyAlignment="1">
      <alignment horizontal="left"/>
    </xf>
    <xf numFmtId="0" fontId="4" fillId="6" borderId="9" xfId="0" applyFont="1" applyFill="1" applyBorder="1" applyAlignment="1">
      <alignment horizontal="left"/>
    </xf>
    <xf numFmtId="0" fontId="4" fillId="6" borderId="8" xfId="0" applyFont="1" applyFill="1" applyBorder="1" applyAlignment="1">
      <alignment horizontal="left"/>
    </xf>
    <xf numFmtId="0" fontId="4" fillId="6" borderId="7" xfId="0" applyFont="1" applyFill="1" applyBorder="1" applyAlignment="1">
      <alignment horizontal="left"/>
    </xf>
    <xf numFmtId="0" fontId="4" fillId="6" borderId="6" xfId="0" applyFont="1" applyFill="1" applyBorder="1" applyAlignment="1">
      <alignment horizontal="left"/>
    </xf>
    <xf numFmtId="0" fontId="8" fillId="4" borderId="12" xfId="0" applyFont="1" applyFill="1" applyBorder="1" applyAlignment="1">
      <alignment horizontal="center" vertical="center" wrapText="1"/>
    </xf>
    <xf numFmtId="0" fontId="8" fillId="4" borderId="5" xfId="0" applyFont="1" applyFill="1" applyBorder="1" applyAlignment="1">
      <alignment horizontal="center" vertical="center" wrapText="1"/>
    </xf>
    <xf numFmtId="0" fontId="8" fillId="4" borderId="11" xfId="0" applyFont="1" applyFill="1" applyBorder="1" applyAlignment="1">
      <alignment horizontal="center" vertical="center" wrapText="1"/>
    </xf>
    <xf numFmtId="0" fontId="8" fillId="4" borderId="10" xfId="0" applyFont="1" applyFill="1" applyBorder="1" applyAlignment="1">
      <alignment horizontal="center" vertical="center" wrapText="1"/>
    </xf>
    <xf numFmtId="0" fontId="8" fillId="4" borderId="0" xfId="0" applyFont="1" applyFill="1" applyBorder="1" applyAlignment="1">
      <alignment horizontal="center" vertical="center" wrapText="1"/>
    </xf>
    <xf numFmtId="0" fontId="8" fillId="4" borderId="9" xfId="0" applyFont="1" applyFill="1" applyBorder="1" applyAlignment="1">
      <alignment horizontal="center" vertical="center" wrapText="1"/>
    </xf>
    <xf numFmtId="0" fontId="13" fillId="6" borderId="14" xfId="0" applyFont="1" applyFill="1" applyBorder="1" applyAlignment="1">
      <alignment horizontal="center" vertical="center"/>
    </xf>
    <xf numFmtId="0" fontId="13" fillId="6" borderId="13" xfId="0" applyFont="1" applyFill="1" applyBorder="1" applyAlignment="1">
      <alignment horizontal="center" vertical="center"/>
    </xf>
    <xf numFmtId="0" fontId="13" fillId="6" borderId="15" xfId="0" applyFont="1" applyFill="1" applyBorder="1" applyAlignment="1">
      <alignment horizontal="center" vertical="center"/>
    </xf>
    <xf numFmtId="0" fontId="4" fillId="6" borderId="12" xfId="0" applyFont="1" applyFill="1" applyBorder="1" applyAlignment="1">
      <alignment horizontal="center"/>
    </xf>
    <xf numFmtId="0" fontId="4" fillId="6" borderId="5" xfId="0" applyFont="1" applyFill="1" applyBorder="1" applyAlignment="1">
      <alignment horizontal="center"/>
    </xf>
    <xf numFmtId="0" fontId="4" fillId="6" borderId="1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14" fontId="2" fillId="3" borderId="1" xfId="0" applyNumberFormat="1" applyFont="1" applyFill="1" applyBorder="1" applyAlignment="1">
      <alignment horizontal="center"/>
    </xf>
    <xf numFmtId="0" fontId="14" fillId="3" borderId="1" xfId="0" applyFont="1" applyFill="1" applyBorder="1" applyAlignment="1">
      <alignment horizontal="center"/>
    </xf>
    <xf numFmtId="0" fontId="8" fillId="4" borderId="8" xfId="0" applyFont="1" applyFill="1" applyBorder="1" applyAlignment="1">
      <alignment horizontal="center" vertical="center" wrapText="1"/>
    </xf>
    <xf numFmtId="0" fontId="8" fillId="4" borderId="7" xfId="0" applyFont="1" applyFill="1" applyBorder="1" applyAlignment="1">
      <alignment horizontal="center" vertical="center" wrapText="1"/>
    </xf>
    <xf numFmtId="0" fontId="8" fillId="4" borderId="6" xfId="0" applyFont="1" applyFill="1" applyBorder="1" applyAlignment="1">
      <alignment horizontal="center" vertical="center" wrapText="1"/>
    </xf>
    <xf numFmtId="0" fontId="12" fillId="3" borderId="1" xfId="0" applyFont="1" applyFill="1" applyBorder="1" applyAlignment="1">
      <alignment horizontal="center"/>
    </xf>
    <xf numFmtId="0" fontId="11" fillId="0" borderId="0" xfId="0" applyFont="1" applyAlignment="1">
      <alignment horizontal="center" vertical="center" wrapText="1"/>
    </xf>
    <xf numFmtId="0" fontId="12" fillId="3" borderId="2" xfId="0" applyFont="1" applyFill="1" applyBorder="1" applyAlignment="1">
      <alignment horizontal="center"/>
    </xf>
    <xf numFmtId="0" fontId="12" fillId="3" borderId="4" xfId="0" applyFont="1" applyFill="1" applyBorder="1" applyAlignment="1">
      <alignment horizontal="center"/>
    </xf>
    <xf numFmtId="0" fontId="12" fillId="3" borderId="3" xfId="0" applyFont="1" applyFill="1" applyBorder="1" applyAlignment="1">
      <alignment horizontal="center"/>
    </xf>
    <xf numFmtId="0" fontId="16" fillId="3" borderId="1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colors>
    <mruColors>
      <color rgb="FFFEEEDD"/>
      <color rgb="FFFFFFA7"/>
      <color rgb="FFFFFE82"/>
      <color rgb="FFFF3300"/>
      <color rgb="FFFF0000"/>
      <color rgb="FFFF6600"/>
      <color rgb="FF81150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0</xdr:colOff>
      <xdr:row>7</xdr:row>
      <xdr:rowOff>0</xdr:rowOff>
    </xdr:from>
    <xdr:to>
      <xdr:col>15</xdr:col>
      <xdr:colOff>304800</xdr:colOff>
      <xdr:row>8</xdr:row>
      <xdr:rowOff>114300</xdr:rowOff>
    </xdr:to>
    <xdr:sp macro="" textlink="">
      <xdr:nvSpPr>
        <xdr:cNvPr id="1028" name="AutoShape 4" descr="data:image/png;base64,iVBORw0KGgoAAAANSUhEUgAABzUAAAG8CAYAAABXFfhXAAAgAElEQVR4nOzdd5hU5d3G8fvsYYFFWKp0sKGgKFYMURIFscWIWRcQQVRi7ELsii+KhUgUFWwBNCoqiii4dhMUDBqwYhexoCAIiIj0us+c949lCShlZ+ec85zy/VwX1/saZn7PvdN2mHvOcxzP8zwBAAAAAAAAAAAAQETl2Q4AAAAAAAAAAAAAANtDqQkAAAAAAAAAAAAg0ig1AQAAAAAAAAAAAEQapSYAAAAAAAAAAACASKPUBAAAAAAAAAAAABBplJoAAAAAAAAAAAAAIo1SEwAAAAAAAAAAAECkUWoCAAAAAAAAAAAAiDRKTQAAAAAAAAAAAACRRqkJAAAAAAAAAAAAINIoNQEAAAAAAAAAAABEGqUmAAAAAAAAAAAAgEij1AQAAAAAAAAAAAAQaZSaAAAAAAAAAAAAACKNUhMAAAAAAAAAAABApFFqAgAAAAAAAAAAAIg0Sk0AAAAAAAAAAAAAkUapCQAAAAAAAAAAACDSKDUBAAAAAAAAAAAARBqlJgAAAAAAAAAAAIBIo9QEAAAAAAAAAAAAEGmUmgAAAAAAAAAAAAAijVITAAAAAAAAAAAAQKRRagIAAAAAAAAAAACINEpNAAAAAAAAAAAAAJFGqQkAAAAAAAAAAAAg0ig1AQAAAAAAAAAAAEQapSYAAAAAAAAAAACASKPUBAAAAAAAAAAAABBplJoAAAAAAAAAAAAAIo1SEwAAAAAAAAAAAECkUWoCAAAAAAAAAAAAiDRKTQAAAAAAAAAAAACRRqkJAAAAAAAAAAAAINIoNQEAAAAAAAAAAABEGqUmAAAAAAAAAAAAgEij1AQAAAAAAAAAAAAQaZSaAAAAAAAAAAAAACKNUhMAAAAAAAAAAABApFWxHQCw5sP7ZW65dJt/7Xql//uPTObXF8j733cCMk4VeVub0WJ36c+XS2365BAUAAAAAAAAAAAg3RzP87bWxQDxtvgDeX87U463XlqyUGbFUtuJfsWtXU+qWSgvv1CS5HQ8RioeajkVAAAAAAAAAABA9FBqIpk+eVbmuj/ZTpETt0FjaZd9pPxC6fAuUscLbUcCAAAAAAAAAACwglITyZSAUnNb3AaNpS7dpPVVpT63244DAAAAAAAAAAAQOEpNJFOCS83NuSU8fQEAAAAAAAAAQPLl2Q4AAAAAAAAAAAAAANtDqQnEmClybEcAAAAAAAAAAAAIHKUmkmn5fNsJAAAAAAAAAAAA4BNKTSTTj1/bThCeM+vbTgAAAAAAAAAAABAoSk0g5syyJbYjAAAAAAAAAAAABIpSE8mUtqJv5VTbCQAAAAAAAAAAAAJDqYlk+maG7QShMn062o4AAAAAAAAAAAAQGEpNAAAAAAAAAAAAAJFGqYlkymRsJwidKXJsRwAAAAAAAAAAAAgEpSaSafFC2wkAAAAAAAAAAADgE0pNIEkGHGg7AQAAAAAAAAAAgO8oNYEEMTM/tB0BAAAAAAAAAADAd5SaSCSzcJ7tCBbNtR0AAAAAAAAAAADAV5SaQMKYopa2IwAAAAAAAAAAAPiKUhNIpB9sBwAAAAAAAAAAAPANpWYaPH2VTJEjaYPtJAjL//3BdgIAAAAAAAAAAADfUGom2dznZYocmUdvlSSZoqrSfedaDoUwmBnv244AAAAAAAAAAADgG8fzPM92CPhtjTLFNeVlMlv9W7dGTemxFSFnClfZkanp5na/VOp1u+0YAAAAAAAAAAAAOaPUTJhsyjz3/L9Lx1wVYBp7KDXLuCU8vQEAAAAAAAAAQPyx/WxS9Nwp6yLPjLhauqR1QIEQCW/cazsBAAAAAAAAAABAzig1427a7WXnzVy3ulJXN7O/5KjGBDN3XGQ7AgAAAAAAAAAAQM6q2A6AyvJkivzrpE2RI7dademJNb7NRESYryR3T9spAAAAAAAAAAAAKo0jNeOoZ4GvhWY5s24tR20m0d2X2k6Qmwt3KzsamccmAAAAAAAAAACpRakZJ589tHGr2bWBLmOKHOnq/QNdA+ExU16wHSEnZv7s//3/RY70z94W0wAAAAAAAAAAABscz/M82yGwY7aOUnNL4vnw4Ki+LbmHnSxdMcF2jOxd9xuZT97Z6l/F9bEJAAAAAAAAAACyx5GaUfdgH6sFnSlypO+ftbY+/GGmPW07QqVsq9CUNj42rzk4xDQAAAAAAAAAAMAWSs0oO622zPNjbKeQuehP8vo2sh0DubrtJNsJsjNsx3nN5+9LZ9YPIQwAAAAAAAAAALCJUjOKhp+iTLErs2q57SSbZJYuknpUk7TBdhRU1vRXbSfIinn9uYpdbtmSsqM2XxoUcCIAAAAAAAAAAGALpWbUDOkkM+VJeZmM7SS/YjaslymqKt3YyXYUVIJZu9p2hIobd0XWVzH33yjvgj0DCAMAAAAAAAAAAGxzPM/zbIeAJK2RKaphO0SFuY2bSyPm2o6xTTbPQxplbq060iM/246xQ7ncf25+VemB96Ra+/mYCAAAAAAAAAAA2MSRmlEwflCsCk1JMgvnlRVPX46zHQVZMCuW2o6wYx+OzenqZsN6mdPbSQ/19SkQAAAAAAAAAACwjSM1bbtiP5mvP7WdIidOYQPlPfyj7Rhb4EjNbUvTUbbuToXSmGW+zQMAAAAAAAAAAHZwpKZFpsiJfaEpSd7yxWVFlLfAdhRUgFk4z3aEbfv6ZV/HmVXLyx6bpdEtcQEAAAAAAAAAwI5RatowcVgijyQ0JzeV/u9g2zGkxW/bThB9a6N5G5kr/hDM3O4tpfnPBzIbAAAAAAAAAAAEj1IzbPedKjPiUtspAmNmvJ/IwjZpzKkdbEf4tTmvBTreXNiVxyYAAAAAAAAAADFFqRmm3rVkXn7CdopQmCJHmvmw7RiIEXNx53DWodgEAAAAAAAAACB2KDVDYoocmdUrbccIlRlwpp0Cafq08NeMoUiVe3OmhLpc2c++LNQ1AQAAAAAAAABA5VFqBu3Ne6NVHllgihxp0XTbMRBh5uIjw1+zqI604YPQ1wUAAAAAAAAAANmj1AxQ5tzdZG69yHaMSDDnHiL1rmU7Bn7pqv1tJ5C+mWRtadPjIGn0GdbWBwAAAAAAAAAAFUOpGZBMsStv0WzbMSLFrF5ZdtTmqk9sR8FG5suPbUeQuayL3fWffST1R1MDAAAAAAAAABB1lJoBMEWOvEzGdozIMqe1kwYcaDsGouDDCbYTbEKxCQAAAAAAAABAdFFq+q1HNdsJYsHM/FCmO7dVFNgs87zBPa2tvVU9C2wnAAAAAAAAAAAAW0Gp6afvn5XZsN52ivgoXa9MsSvdVmQ7CWx4435lTKntFFsw69byxQQAAAAAAAAAACKIUtNPzU6ynSB2vExGZuoz0tlNbEdJt8vbhr/mvf3DX7MCzIb18rrlS2s+sx0FAAAAAAAAAABsRKnpM7fEsx0hlszihWXboE683XaUVDKzZoS74KvDyo6KjKiMKZXpta80faztKAAAAAAAAAAAQJSagXBPOc92hNgyIy6XnuxnO0Y6TX84vLUeui68tXJgBveSpj5kOwYAAAAAAAAAAKnneJ7HoYUByBS78jIZ2zFiLZejXk2R42OS9AjlSONPHpO57rTg1/GRe+Mz0n5sLw0AAAAAAAAAgC0cqRmQvAnGdoTYK9uOdlilruuedJHPadJiXfBL3B7Nc2luj7nuT9LsKbZjAAAAAAAAAACQWpSaAXLbd7YdIfbMiEulvzTK/opn3i131738D5R0p9QJdv7XT8ksWxLsGgExlxwpLXzXdgwAAAAAAAAAAFKJ7WeD9uedZX5ebDtFIrj/N1o65IysrsM2tNkLdAva3rVkVq8Mbn4I3PvflxocaDsGAAAAAAAAAACpwpGaQXtwtu0EiWH+dqY04dqsruOOnxFQmgR74apg5s5/PvaFpiSZsw+SVn5hOwYAAAAAAAAAAKnCkZphGHyUzPTJtlMkRtZHEg47Qeb1l4IJk1BBHK2ZKXblZTK+z7XFHfu1VH0P2zEAAAAAAAAAAEgFjtQMw8BJcmsW2k6RHD2qZXf5S15UnlslmCxJ9cE4f+etfztRhaYkmVNb2Y4AAAAAAAAAAEBqUGqG5eZnbCdIDLNhvXTniVldxxm/IaA0yWRu7OnvvFM6+DovKjhnKwAAAAAAAAAA4aDUDEuLTnIPPtJ2isQw/3lBmlWS1XXc3/8poDQJNfUB2wligWITAAAAAAAAAIDgcU7NkFGA+Cvbcz8m7byOQXKr15DGrsp5Tloe80GchxQAAAAAAAAAAJThSM2QufdMsx0hWc6sn9XF8yaYgIIkj1m72nYEAAAAAAAAAAAASZSa4Wv2W7mNW9pOkRhm2RJp0G+zug5H1GXh8fNzunpajtIEAAAAAAAAAADBotS0YcQc2wkSxXz8lu0IiWWeGmk7Qiy41/7DdgQAAAAAAAAAABKNUtMS98GPbUdIlGyPCORozSz889xKXS1VR2nW3N12AgAAAAAAAAAAEo1S05a6+9lOkDxDOmV1cYrNCpryhO0E0bfXsbYTAAAAAAAAAACQaJSaFlGq+cu88x/pu9eyuo57UMeA0iSHWblcWvFuVtfJFLsBpQEAAAAAAAAAAGlEqWmZO+ol2xESxfy1c3ZXuPYNuYX1ggmTJGPuyuriXiYTUJDocXfdy3YEAAAAAAAAAAASz/E8j8MFLUvVuQdDku1RsJliN1VFXLayuT3Tdlu6D78nFR5sOwYAAAAAAAAAAInGkZoRwDa0AZg9IauL5034LqAg6ZOmQlOS5BbaTgAAAAAAAAAAQOJRakaEe/rFtiMkirmkW5bXaCZ3jwMCyYKE22lP2wkAAAAAAAAAAEg8Ss2oKBpmO0HiZL2t720fyK1VJ5gwMeYecFjFL/zGLcEFAQAAAAAAAAAAqUWpGSFsQxuAW47K7vKPfB1Mjjirs2vFL/vwHcHliCC3DUf3AgAAAAAAAAAQBkrNiHFbtrIdIVHMW5Ol79/M4hr15d40OrA8SWd+WmQ7QriGvGU7AQAAAAAAAAAAqeB4nsfhgRGT9bap2KGsj4I9s77MsiXBhImZbG67tD12OboaAAAAAAAAAIBwcKRmBLklS21HSJysy7bRPwUTBAAAAAAAAAAAAFmj1Iyk2nKbtLQdInneHJbVxd3x8wIKklTrbAcAAAAAAAAAAAAJRakZVf+YYztB4phbL5Vmv1bxK7jN5O65b3CBYiDtP//2uA//x3YEAAAAAAAAAABSg1Izwtwr77EdIXmu/VN2l7/1k2ByxMXhx9lOEF2FR9hOAAAAAAAAAABAalBqRtlvL5R74GG2UySKWblcumCPrK7jlngBpYmB9dUrftlhJweXAwAAAAAAAAAApBqlZtRdN9V2gsQxC76Rvnk2q+u4T70XUJqIKzqt4pd9e3JwOQAAAAAAAAAAQKpRasaAe8GttiMkTuaKLI8qrHJwMEGirkrrCl/UrFsbYBAAAAAAAAAAAJBmlJpxcPQVcvdqZztFoniZjHRa7ayuk+ptaLEFt2S97QgAAAAAAAAAAKQKpWZc3PKR7QSJY1Ytl/pleX7N0Z8GlCZ63AaNbUeIsHzbAQAAAAAAAAAASJXElZqmyNn0J1PsSkOPtR3JN+61o21HSBwz75vsrlC7rdwRLwUTJmpOvaDil13+eXA5AAAAAAAAAABA6iWr1Nzw7hb/6WUyMtMmblF0lv9Rn9rSG7dYClpJB50ht8STe82DtpMkiilysrtC4+Pl3vB0MGGipFpz2wkAAAAAAAAAAAAkSY7neYk5UWDW5dQ2uPlVpaGPS7sU+zIvMG+MkLkji6PpsF2VOmdmj2oyG5J5fkX38gelw/tW7MKzJ8lc0iXYQBHhtm4n/Z3toAEAAAAAAAAACFNySs0+tWVWLg98GbdxS+nae6SmJwa+VoV9MFYa93eZLz62nSTW3DH/lXY6POvrmd61pdXBP/bCllXJe9neMt/MDC5MhFSq/AYC5Dj+fKEnTEl56xGWuNzHeXl5MsbYjgEAAAAAAICESkyp6ddRmrlwGzWXRs61G2LosTLTJtrNEGOVLqzO301m4Wx/w1iWzW0RhedfWCg1ETVxKbw2l5C3HqGJy31MqQkAAAAAAIAgJaLUjEOh4u7WRrrj8/AWvPpgZb76UF4mE96aCVHp0urfg2RG3uhvGIsoNbeOUhNRE5fCa3MJeOsRqrjcx5SaAAAAAAAACFICSs1ZMkWtbIfISaAlyW0nyHtrojKmNLg1EsbdqVAas6xyV/52gsyl3fwNZIF76gVSj3srfHlKTcCeuBRem4v9W4+QxeU+ptQEAAAAAABAkPJsB8hV3AtNaWMh1HMnSbP8H375i3LGb5B70z/9n51QZlUO58fcrVhuSQLOr9k+i2J2fQCP24hyzxtoOwIAAAAAAAAAAKkU71JzzLm2E/jGrFtdVtD23Eka3t3/BfY9S26Jx1FmFZTbkYe14n87O1m8NMyaGVyOqDn2JtsJAAAAAAAAAABIpViXmmbCfbYj+M6sWy0zZbwyxa50W3Ega1BuVtAlrXO6eqxv412PsJ0AAAAAAAAAAABgk/iWmlccbDtBoLxMRmbq02VHDN57RiBrUG5un5n9pTRjbE4z3BJPbtfTfUoUUbPesp0AAAAAAAAAAAAknON5XgxbLU+mKL59bGW5x5wpnf9QcAt89ZjMlacFNz+m/Cl+F8gUNfVhTjiy+pnPbiKzeGFwYSKELwEgihwnl+2y7YjlWw+L4nIf5+XlyRhjOwYAAAAAAAASKp7N4DWH2E5ghZk4uuzIzUG/lbTK/wX27M3Rm1vTs8CHIU1ic7u67Tpkdfn0FJrzbUcAgEirUqWK7QgAAAAAAABIsBiWmhtkPn/fdgirzMdvyRTVlPrUlszcQNYoLzfdmoWBzI8Ts26tNPh4X2bFoti86i7bCSKqie0AAAAAAAAAAACkVvxKzUv2tZ0gMszK5TLdWsrrli/pp2AWeXRZWbnZqWsw82PCTP+XlPnCl1mRLzarNradAAAAAAAAAAAAYAsxKzWXycz+0naIyMmYUpmiBmVb0066KZhF+j9bVm6efXUw82PAFLfxbZZb4sndI6IFfZUWFb/sB+OCywEAAAAAAAAAALBRvErNv6bzXJrZMPdcV1ZuDjgwmAX+MKSskLvmkWDmR901B/s367ZP5N79nH/zbPhpke0EAAAAAAAAAAAgBWJVaprvvrYdITbMzA/Lys1TCoJZoH2fsnLzsvuCmR9R5vP3pat+49/A5ifKfZLHddRFfstgAAAAAAAAAAASLj6l5gW72E4QS2b9Wpkip6zgDELHs8vKzV4D5dZvGMwaEWO+fMffgfl7yC1ZLLdmob9zK8Gt2yC7K3zyr2CCAAAAAAAAAAAAbMbxPC8WhyAFVsqlkHv/e1IDH7dR3ZE7e2/9f89bLW1YK2Uy0txvYnUkrpOXp7wJxv/BF+wis+A7/+dWkPv0h5Kzf8Wv0LuWzOqVwQWKCI7URJQ5Tvx+P8bkrUdkxOU+rlq1qtatW2c7BgAAAAAAABIqFqWm6VNXWrnUdozEcbueLvV92HaM7Kx6V/rbxVv/u7z1kimVViyV1q2VWbww2Cx5eXIDKDa9s1sos3ie73MrItvyLi1fNqDURJTFpfDaXAzeekRKXO5jSk0AAAAAAAAEKR6lZkqKE1vcBo2l+xfYjmHJLGX6dtzq3+S5mbKjSEtLpbWrZTas/9Vl3L6XS12H+h/rxt/JfPBf/+fuAKXmr7k1C6VHl9mOAWxTXAqvzcXgrUekxOU+ptQEAAAAAABAkCJfamaKXXmZjO0Y6VC1htxxq2ynwGbCLg2zKjU3fC7TY5/gwkQER2ki6uJSeG0u4m89Iicu9zGlJgAAAAAAAIKUZzvAjlBohmj96rISrf8ekig3oyDShdqTD9pOAAAAAAAAAAAAUiLapeag39hOkEpm7jcyRTWlM+tLz1xrO07qRbbYLC21nSBwbrXqtiMAAAAAAAAAAABFvNQ0H79jO0KqmWVLZB4eLPWoJo29ynacVAuj2HTPvy7wNeIm40X6JRIAAAAAAAAAgNTgE3vskNmwXubJW8u2pn3qCttxUsst8eQW1gtugWNuyO7y778QTI4IybthpO0IABAbVapUsR0BAAAAAAAACeZ4nhfJvS1NkWM7ArbDbX+cdM3LtmOk1PcyRc19n5rt0aBet3xlTLK3oI3s1r/AZhwnfr8vI/rWI7Lich8XFhZq2bJltmMAAAAAAAAgoThSE5Vi3v1XWfF8WVtJP9uOkzLNIlG2Jb3QBAAAAAAAAAAA0RHNUvOO420nQAWZb2bIFNWT1y1f0grbcVLFLfHkVqtub/3aAW6FGwFuy71sRwAAAAAAAAAAABtFstQ0b/zLdgRkKWNKZYoKN24bzNZzoXlijdy9D7Kz9n6H2lk3JJ5T1XYEAAAAAAAAAACwUSRLTcSbKapTVm4unWI7SjrcPF1u2445jXD3qUQx2qBNTmtGnTP8E9sRAAAAAAAAAADARpErNcuO9EMSmL5Hlt2fg39nO0ryDX5D7ikXV/76f5vuXxYAAAAAAAAAAACfRa7URPKY6f8tKzdPr2s7SrL1HCa3ZHV46xXUCG+tkLk1atqOAAAAAAAAAAAANhOtUtP7yHYCBMisWCpT5HA0bqAK5JZ4ynOrBL9Uj/OCX8OW/XPbzhcAAAAAAAAAAPgrUqWmOfkA2xEQkk3l5pgLbUdJJGf8BrmNmwe8SouA51tUrY7tBAAAAAAAAAAAYDORKjWRLm5BTallK9sxkmvEXLm169lOEU9/HWs7AQAAAAAAAAAA2EwIe1RW0IejbCdAiNwSz3aEdBj9k9y+O8ssXWw7SWy4J/W3HWHHlkySrjlT5qdFkiRHkle6fouL8BwDAAAAAAAAACSJ43leJD755jyL6UDRYon30Ta3d87pPulTW2bl8spfP2LccwdKx91kN8T9Z8j7+J1N/+msWCRv5XJlTGlWY3iupYfjxO/3Z0TeesRGXO7jwsJCLVu2zHYMAAAAAAAAJFR0jtREYrnnDZSOtVwUpZ2zv9wSz/8vD/ymszTpGX9nWuI2bh5soTnnRankEWnVyrL/XrtU+up9mXVrg1sTAAAAAIAUGzp0qO8zr7jiCt9nAnFR/pzieQDAlmgcqfnBQzI3/tl2CviMI8Wi6ZfFZk7306t3y9wbg+1aK8DXx+vg30mfvme9sOQ5mA5xOYpvc1F46xEncbmPOVITAAAAUeP3e+nOnTtr0qRJvs4Eouz888/XI488otWrV2/zMn/605/UoUMHXXXVVSEmA5BWkSg12Xo2WShSYuDcZjKL5kui1JR8fsw+3FfmmdH+zcsBz8V0iEvhtbkIvPWIlbjcxw0bNtQPP/xgOwYAAAAgKZj30fxbBmnRvXt3jR8/PqvrVKlSRY8//ri6d+8eUCoAkPJsB0AyuNVryC3xKFHiYtT3clt3yH1O/Ya5z7DM18fsC7dEptAEgLDl5fG2EgAAANEwYsQI32dSaCItXNfNutCUpNLSUvXo0UNFRUUBpAKAMvaP1FwyVeasjlYjoPLc06+WiobYjoHKevhC6Yx7K3/9tZ/LnLqPf3lC5t42UdrjaH+GffiUzA09/JnlE7egpvT4CtsxELC4HMW3OdtvPeImLvdx48aNtWDBAtsxtmvWrFlauXKlFi9erNNPP13z58+v8HWrVq2qVq1a6fHHH5ckNW3aVDvvvHNQUVNt7ty5WrJkiSRpxowZuvLKK7V8+XItX778V5etUaOGatasqY4dO+q6666TVHZf7b333qFmrqg4PJ95jd7SRx995PvMNm3aqFq1ar7PBQD8j9+/c/n9iLTw67mz11576YsvvvBlFgBszn6pudk2mIgPt2SRJD7IQ3y3j3YHjJEO7e3bvKjeDhw9nXxx+ID8l2y/9YibuNzHUSw1V6xYoeOOO07Tpk0LdJ2RI0eqV69eqlWrVqDrJNGGDRu0ePFi7bvvvpuKTD/Vq1dPs2fPVtWqVSNRIsXh+cxr9JaCuM+6dOmiV155xfe5AIAyQ4YM0TXXXOPbvCeeeEKnnHKKb/OAqPL7fU/Xrl317LPP+joTAOzvE9ahi+0EqCC3Vh25JQs3liQUmogvd+A9qSg0ASCNiouL5TiOHMdRYWFh4IWmJJ133nkqLCyU4ziqXbt24OslQbNmzeQ4jqpWraqmTZsGUmhK0pIlS1RYWKjq1avLcRw1atQokHUAAEB0+Flo1qxZk0ITqdC+fXvfZz733HMaN26c73MBpJv9UrPvw2XnYmzQ2HYSbIN7Qi+5JeulR36WxAdBiDd3/w7SwRf6Ni9T7Po2Kxjf2g4AAIH75JNPNhWZTz/9tNUsy5cv35Qlqlug2lJQULDptslm618/LVq0aFMGCk4AAJInPz/ft1mFhYVasYJTuiD5brjhBr333nuBzD799NMDmQsgveyXmuXuXyB30BjbKbAZ9+yry47K/Mtjkvx7U4hkid0XEq5/079ZfWrLy2T8mxcAU7S77QgAEJjatWvLcRy1a9fOdpStmjlzphzHketG/QswwSovEdeuXWs7yhY2Lzhfe+0123EAAECOFixYoNLSUt/m/ec///FtFhBld911V2Cz169fr5tuuimw+QDSJzqlpiQd0LvsqM3ul9tOkmruadeVlZl/GGI7CuKga3y+ceXr+SWHnSCzcrl/8wAAFVZ+xN/y5fF4Hc5kMqkrN3/88cdNhWEcdO7cWY7j6IYbbrAdBQAAVFLTpk19m/X444/rwAMP9G0eEGVBnQqi3KuvvhrofADpEq1Ss1yvoWXl5jE9bCdJDbdadbldLyorfYr5MAdZaPV72wkqxNdC8/X7ZV5/yb95AIAKadGiRSSP+Kuo8nKzWrVqtqME5ueff5bjOGrYsKHtKJVy/fXXy3EcDR061HYUAACQhQ8++MC3WY0bN9app57q2zwgyoqLiwNf4/XXXw98DQDpEc1Ss9z54zAgemQAACAASURBVMrKzV32sp0ksdxGLeWOmCw9sUbqe7ftOEAg3JKv/Rv28u0yw87xb14Y7gn+DSoABGnWrFlyHEfz5s2zHcUX69evl+M4qlWrlu0oviooKFC9evVsx/DFlVdeGZujTAEAgHTQQQf5MqdevXpasGCBL7OAOIjrF0YBpFe0S81yw7+Q+/fxcvOr2k6SGG6TXcuOXBs5R2rcyXYcxJkT7ZcRt+lekvbwZ9jXL8rcF7/tsc2kp21HAIBKy8/PV6tWrWzHCMTKlSsTUZw99dRTsT6CdnvitIUuAABp1ahRI99mPfLII77NAuJg5syZtiMAQFai3UZsrnWx9OQ6uX0utp0k9twST/rHt7ZjICnadLadYJvcXfeS7v3Ct3nmij/6NgsAsH3l25iWlpbajhI4x3H02Wef2Y5RKXvssYd69Ej+KSMoNgEAiKapU6dq0aJFvsz6z3/+oxNOOMGXWQC29MADD9iOACAh4lNqljt5WNmWtO0OtZ0kVtyB95Tdbn6eVxCQJEXzvGDufodKw3wsNLtH8+cEgCS64YYbErONaUXtu+++2mMPn3YWCElBQYG++eYb2zFC4ziOmjVrZjsGAADYzDHHHOPLnHbt2umII47wZRaAXzvrrLNsRwCQEPErNcvd8DYFXQVsKjIPvtB2FCBcN77t2yhzSoFUut63eVY8e4XtBABQIUcddZSuv/562zGs+Oabb7TffvvZjlEhBQUFidxudkfmz5+v+vXr244BAAAkTZgwQatXr/Zl1kcffeTLHCBuknqqDwDJFd9ScyOOPtw6bhekma+P/dPrSuvj/6GtGX2b7QgAsEN169bV5MmTbcew6tNPP9Xhhx9uO8Z25efnp7LQLLdkyRK2owUAIAK6devmyxzP4/MzpFfNmjVtRwCArMS+1CxXVuJlbMewym3YlDITVri16tiOsImvj/97i2VWLPVvHgBgm/Lz87V0Ka+5kjRt2jQdffTRtmNsVVrOc1oRjuPo2muvtR0DAIBU6t69uy9zZs6c6cscIK4mTJgQ+BrNmzcPfA0A6ZGYUrOMU1bq3fcv20FC5Rb3LytyRn1vOwrS6lh/vh2ZK18Lzdfvl3n1af/mAQC2KT8/n6LsF1599VWdeOKJtmNsgaMTf23w4MEqKiqyHQMAgFRZs2aNxo8fn/OcM888U61bt/YhEYDt6dKli+0IABIkYaXmRjsfm4qjFTcdlXnanbajIO1OvNR2ArmnDvRv2JwpMsPO8W8eAGCbKDS37YUXXtCAAQNsx5BEobk9zzzzTOQKaAAAkqxdu3a+zHnooYd8mQPE3UUXXRTofJ5rAPzkeGnYOP7PO8v8vNh2Cl+49RtK//zBdgxgS8s/lzljH2vLu32ul04e5Ns8U5TMD27dlq2kO7+yHQM+i2PRkIa3Hn6Ky33cuHFjLViwIKvr7L///vr4448DSpQctp8zcXkM2vaHP/xBL7744nYvE4fb0vbjLWqCuM+6dOmiV155xfe5AJAGs2bNUqtWrXKew+87SNLPP//s+8y6dev6PjMMQb1PPe200/Too48GMhtAOlWxHSAUD/4oV5J6VJPZsN52mkpxz7pS+uMttmMAW7eTvZOKu6deQKFZQea7r8teCwEgAsaNG0ehWUGu68oYY2Xttm3bWlk3jl566SUdddRRmjRpku0oAAAk1l577ZXzjIkTJ/qQBElQr14932fGtTD3PM/3YrN58+YUmgB8l8ztZ7flyXVyR0+znSIr7s2jy7aYpdBElLkt7K3d417fRiW50ASAKPnggw/Us2dP2zFiI5PJ6Pjjjw993enTp2vGjBmhrxtnkydP1m9+8xvbMQAASKRmzZopk8nkNOPyyy/X0Ucf7VMiIFlGjx7t67y5c+f6Og8ApLRsPwsgcDYKQT/PnZspduXl+I+jOEjD+YbTJg5bGf4Sbz2yE5f7OJvtZ+PyM0XNwoUL1ahRo9DW436qvDZt2ujzzz//1f8eh9uU1+gtsf0sAESHH6/J/J7D5oL4PR/3x9iLL76oP/7xjznNqFmzplasWOFTIgDYUrqO1ASQGL6Wc/efmopCEwCiIA6lTlT5cf6oiuJ+ys3MmTN1wgkn2I4BAEBiUGgC4TjhhBPkeZ5atmxZqet37dqVQhNAoCg1AcSOr4Xmz5/IvPSEf/Oi7rGzbScAkGLt27e3HSHWVq5cqU6dOgW+DkeQ+eOll17SqlWrbMcAAACSzjnnHNsRgFiZM2eOLrjgggqXmz179pTneXr22WcDTgYg7dh+FoA/LthFZsF3gS/j7n2YdPNUf4bNf1vmwg7+zIoRtqBNljgeTcVbj+zE5T7e0fazn332mfbdd98QEyVX0M+huDzm4mLz+ysOty2v0Vti+1kAsC/Xc4vXqVNHY8eO9SkNkoTtZytuW8/Dl19+OeQkANKOUhOAPz6+X2ZQsN98dBvuKo361p9hP06XOecQf2bFDKVmssThA/Jf4q1HduJyH++o1IzLzxEHnTt31qRJkwKZnZ+fr9LS0kBmp1n5614cnge8Rm+JUhMAgOSi1ASA+GH7WQD+aHd6oOPz3Cr+FZpSagtNALDhwAMPtB0hUaZNmxbI3I8++ohCMyBxKDMBAAAAAIg6Sk0AseCM3+DfsJ4F/s2KpR9tBwCQIm+++aY+/PBD2zESZe3atYHM7dAhfVuyh6lRo0a2IwAAAAAAEGuUmgAiz8/tUs1pdWXWBfNhMADg14477jjbERKpWrVqvs6bOnVqYGUpyixatMh2BAAAAAAAYo1SE4BP/P1wtZyv53+8cA9p1VL/5sXWYtsBAKTEsGHDtHz5ctsxEmn9+vW+zuvatauv8wAAAAAAAPxWxXaASBl5lsy/H7SdIhLcki8l7Wk7BlLO10LzkbNl5n/j37w4O7eLNOp72ykApMCll15qOwIqYPr06VqyZIntGAAAAAAAANtFqbmR1y1fGVNqO0aEUGjCLrf/bf4Nm/myTMk//ZsXc2bRfLm2QwBIvL59+9qOkHgHHnigPvjgg5zn9OjRw4c0AAAAAAAAwWL72ReHyBQ5FJqb8fXoOKAS3MNOljpd5s+w79+UGfAHf2YBACps9OjRtiMk3ocffujLnG++YScDAAAAAAAQfekuNW88XOaf19hOERluflUKTeTErdcw9xnH9JCumOBDmjLmosN8mwUAqJijjz7adgRU0EknnWQ7ghX9+/eX53k5/Tn99NNt/xgAAAAAAKSK43leKlssU+TYjhApeW4VOeM32I6BuJvwV5kxd1X66m67DtINb/oWh+f5tvEFhuRwnPg9zlP61qPS4nIfN27cWAsWLJAUn8xJkOvzKS331eTJk9WhQwcVFBQEtsaaNWu0ePFitWzZMrA1wsBr9JaCeI506dJFr7zyiu9zAQBAdoL4Pc97KQAIVvqO1LzjFIqOrXDGL7IdAUlQfGdu16fQDM+Ct20nAJBQbdu2tR0BFTRgwADbEQK16667at68efI8T506dQq00JSkgoICtWjRYtORnJ9++qneeeedQNcEAAAAACBNUlVqmiJH5o0nbceIHHf8DEl1bcdAyvl55KA52fVtFgAgOzNmzLAdIVVefPHFSl93/PjxPiaJjiOPPFKe5+nbb79Vs2bNrOVo27at2rdvL8/z9N1336l///7WsgAAAAAAkATpKDUv3Y+jtrbBvfQ2yd3bdgyknK9boV6xn+Rl/JuXWKW2AwBIoNq1a9uOkDrXXXddpa/79ddf+5jEvl133VWe5+m1116zHeVXWrRooTvvzHFHCwAAAAAAUi7xpWam2JX59lPbMSLJ3esg6XeX2Y6BlHPH+/n8/Ezma57vFbKBLacB+Gvp0qVavXq17Rip8/7771fqevvvv7/PSew68sgj9e2339qOAQAAAAAAApTcUvOtYTJFjrwMR2xtjduguXTLdNsxkHLunodIrn/nXjNF+/o2K/GeHW07AYCEWbt2rUpLOQo8LpYuXWo7gm8WL14cyaMzAQAAAACAv6rYDhAEtprdPrdGTen+ubZjIOXcxi2lW9/1adoGmaKqPs1KBzP5Obn9bKcAANjy3Xff2Y7gC8/zcQt7AAAAAAAQaYkrNSk0K+CxFbYTIOXy3CrSiDm+zaPQBIDkqF69uvLyfr2ZyPLlyyVJrutKkowxWrt2rRo2bLjF5dgCNz0oNAEAAAAASJfEbD+b6VOfQrMC3JLFtiMg4dzGLXd4GWf8Bv8W7Fng3ywAQOiaN28uz/M2/VmzZo1WrVr1qz+u624qNKWycnOnnXb61eXK5wwfPtziTxVtBQXx/91JoQkgynbbbTc1adJETZo0keu6chynUn9q1aq1aU6/fmyzEhUtWrRQkyZNVKtWrUrdr67rbrpf27b173QsSKfWrVurSZMm2nnnnSv9WpOfn68mTZqoWbNmOuOMM2z/SECi7L333r68J3BdV40aNVKTJk3UunVr2z9WKvztb3/bdN9Vq1Ytp/dyu+yyi+0fJ1EcLwmfCJxeV2ZFcs4LFBS3ZK2karZjIOnmTJC5uNs2/9ot8e8lJ9O3ibylC32blzZ+3hewx3Hi94WeJLz1CFMc7+PtefLJJ9W9e/dQ1/ziiy/Upk2bUNcMU7bPqfz8/Fif/7RVq1b66quvbMeolDg8n3mN3lIQ91mXLl30yiuv+D4Xdrz77ru6+OKL9eWXX2rx4nC+RLzvvvuqXr16mjJlSijrpd3hhx8e+P2bl5enQw89VKNHj+bDamxXp06dtHDhQs2cOTPQdfLy8nTIIYeoYcOGev755wNdy6Ygfs/zXirdDj/8cC1ZsiTw52i5XXfdVc2bN9cbb7wRynpJdsopp2jevHl65513Av338j777KO99tpLJSUlga2RdPEuNYcXy0x52naKWHBvHi3tzbetEI5tHTXta4nWf2+ZueG8QUgqSs1kiMMH5L8U57ceNsTxPv6lJUuWqG7durZjSErG7flL2T6n4n4bxPk1JA63fZxv3yBQamJrrrjiCk2cOFEff/yx7SiqXr26unXrpkcffdR2lMT44osvNHjwYD3++OPKZDJWMpx88smaMGGCL7P69Onjy5xyYT7W4pzdTxdeeKGefPLJ0L44sTVHHnmkdt99dz3wwAPWMvySH4+PMWPG+JBkS8cdd5waNGjg+9zNBfVY9vs5d/PNN6tFixa+zoyab7/9VhdffLGee+4521GUl5enXr16qVevXjr++ONtx4mFc889V/PmzdNLL71kZf3DDjtM7dq104gRI3KeNXToUN/fm0b192ZsS03vkv2VmW3/HxBxQXmBMG2t1HRLZkvy6VD7kb1l/v24P7NSjNeFZIjDB+S/FNO3HtbE8T4uF9X7Os636dakqdSM6mOqouJw28f9NvYbpSbKffLJJ7r11lsD+QDcL3Xq1FH//v11ww032I4SS7fffrtuvvlmLVmyxHaUTTp06KA333wzpxl+v46F+Xsiztn9MGjQIN144422Y/zKmWeeqYceesh2jFi8rwpKUI9lv2/TMWPGqHfv3r7OjIpBgwZp8ODB1r78siNVqlTR1VdfrZtuusl2lEi66qqrdOutt9qOsUleXp6uu+46DRo0qNIzfvvb3+qtt97yMVV0f2/G75yai96WKXIoNLNAcQHbnMIG8q3QXDGdQtMHvC4ACFpU3/xK2nTezTTa/LykAIAde/jhh1WrVi21a9cu0oWmJC1dulQ33nijHMfR3XffbTtObDzwwANyHEeXX355pApNSXrrrbfkOI7at2+f2vcuaXT++efLcZxIFpqSNHr0aDmOo8MPP9x2FCBU7777rnbbbbdNz8+oFpqSVFpaqsGDB8txHF122WW240RG+etrlApNScpkMrr++uvlui5bCVdArEpN7/w9ZM7tYDtGrFBcwLa8pnsp7+EffZr2k8zph/g0K53cax7ndQEANkrjh4NR/of3jqTx/gJgzyuvvCLHcXTmmWdq5cqVtuNkrX///nIcR+eff77tKJE1btw4OY6jv/zlL7aj7NB7772nvLw8vfjii7ajIEDDhg2T4zgaOXKk7SgVMm3aNDmOo/3331/r1q2zHQcIzNSpU7XTTjvp0EMP1ezZs23Hydodd9whx3F0xhnpPTXdgAEDYvH6mslk9Pvf/15//etfbUeJtJhsP/uzvG4NlTHBnaA1iSguYEv59rNuq32loZ/4NjdT7MqL8YextvGakExx3HInFm89IiSO97EUr/s5rrdxuWxu67j+rK1atdJXX31lO0bO4nD7x+m5Gwa2n02fBQsWqGnTprZj+G7kyJE699xzbceIhGXLlqlOnTq2Y1Ra06ZN9f3331f48nHewjXO2bPx0Ucf6YADDrAdI2ctW7bUnDlzQlsvDu+rgsL2s+HJz89XaWmyOombb75ZAwYMsB0jNHF+rcjmuc72s1HyQG+ZonoUmllyx35jOwJSzq1R09dCUz2qUWhWknsrR2cCwPY8+OCDtiNgB5JQaAKIvuOPPz6RhaYknXfeeXIcR1OmTLEdxapx48bFutCUpPnz58txnMh+0Ijs3H777YkoNCXpu+++k+M42rBhg+0oQM7Gjh0rx3ESV2hK0jXXXCPHcfT888/bjhKoI444ItaFplRWyKapgK6oKrYDbE/50V7IjnvfRKn6brZjIO0eW+HbKF4LKs+98z9SyyNsxwCASOvbt68GDhyo+fPn246Crdh9991tRwCQcC+++KL++Mc/2o4RiiOPPDL0o6miIu4fbP5SXl6eVq9erYKCAttRUEmu68b61ADbUrVqVeXl5ckYYzsKkLWk7tiwNV27dlWDBg30449+nTYsOpL0O//vf/+7SktLNXToUNtRIiOiR2rOosSoJPf4ntLOR9uOgZTz86hAc7Lr26y0cUs8Ck0AqKBstnGLq7POOst2hEqZNWuW7QgAEqx169apKTTLlR9N9dhjj9mOEooRI0Yk6sPNzdWoUYPtrGPKcZxEFprlMpmMHMeh2ESsnHDCCakpNMstXrxYjuPoo48+sh3FF0cddVQif+ffdttt6tOnj+0YkRG5UtMUOTJFrWzHiKW8mnWkc8bajgH454z6kpfcN/lBcS+6h+1mAaASTj75ZNsRAhXHbXarVq1qOwKABHMcR19++aXtGNacdtppif+A7JJLLtEFF1xgO0agjjnmGL322mu2YyALSfzAfVuqVKmiqVOn2o4B7JDjOHrppZdsx7DmgAMO0LHHHms7Rk4cx9HkyZNtxwjMmDFjVFxcbDtGJESn1DTfc3RmLnaqI+fRn22nAPwzcZDM8iW2U8RLjcKyMvOoC20nAYBYmjBhgu0I+IVjjjnGdgQACdSvX79UlQrbM2bMmMTeFrVr19bw4cNtxwhF586dbUdABSX1+bY9HTt2VLVq1WzHALZq1KhRqXxebs3EiRNVq1Yt2zEqJS334dNPP62TTjrJdgzrIlFqZopdmW7NbceILbdGTbljKDSRLGbEjbYjxIpb9Ge5jy2zHQMAYq9jx462I2AzV155pe0IABLm1FNP1T333GM7RuQk7cNAx3G0fPly2zFClbT7MInSfB+tX78+1T8/oummm27SeeedZztGpKxcuTJ2z9W45c3Vc889p9/97ne2Y1hVxerqyz+ROaOd1QiJ8NiK3Gf8dU/pzq9ynwP4gKO2K86tWSj1+4d0aG/bUQAgEU4++WT997//tR0DG6X9H2sA/LXbbrtp9uzZtmNEluM48rz4n8YibR9ubi4p92ESpflxuTkeo4iKo446KtFbleYqLs/VtL62pv0zC3tHat55IoWmD9y/jsx5hilypCWLfEgD5I5Cs+LcgprSo8soNAHAR5dccontCNioYcOGtiMASJCCggIKzQpwHEd9+/a1HaPS0vrh5ua4DaJnzz33tB0hUniMwrb69etTaFZA1J+rUc8XtDT//FaO1DTF+VKm1MbSieIOfEI6+JScZpg+dcv+78rlcv0IBeTA65ZvO0JsuGO+lHbiH0YAgOTq0aOH7QgAEqJatWpav3697RixMXr0aFWvXl0jRoywHSUrnLPvf9asWaOCggLbMbDR119/bTtC5NSqVUsrVviw8xyQpfr162vJkiW2Y8RGVI/Y5Hd+mYKCAq1Zs8Z2jNCFe6TmAxeWHYVFoZkz9/geORea+vdN0sql/gQCcpT5SwtlDK8NFeGWeBSaABCggQMH2o4ASXl59jaVAZAcdevWpdCshJEjc98VKkw777wz9/NmatSoYTsCNkrzkTTbs3LlSh1xxBG2YyBlKDQrJz8/WgehtGjRgt/5G61du9Z2BCvC+6TgL01kXvhHaMsl3jnjch5hRl7nQxAgd16/veX9NM92jMhzSzJlhSYAIFBt2rSxHQGSbrvtNtsRAMTcEUccoaVL+SJvZcWljDnppJO0ePFi2zEip3Xr1mrfvr3tGKlWVFRkO0Kkvf7665owYYLtGEiJAw88kEKzkkpLS9W2bVvbMSRJ++23n+bN4zPkzcXl/ZqfQik1TZEj89PCMJZKBT9KDc5biMi4+xRl5s20nSLyyp73PG8BAJVTUlJiO0LWovaNYADx0rdvX73++uu2Y8Re1D8o++mnn/Tcc8/ZjhFJX375pd577z3bMVLtmWeeCX3Nu+66S57nVfjPkUceGXrGcqeddpqKi4utrY/0OP/88/Xhhx/ajhFrM2bM0Lnnnms1w6pVq/Tpp59azRBVjuPorbfesh0jNOzpFDMUmkgWT2byk7ZDRJp72DEcnQkAyBlb6gJIk+nTp2v06NG2Y0gq20o7m4Jh8z9R2YY7ysVmgwYNbEeQJM2fP7/S97PneapSpYrtHwE+GzJkSCjr/PI1pl+/flld/7XXXrPyunPzzTfr0UcfzWlGLs+58j9B8COXjdxJ9be//S0yW6rn8p6gZcuWtuPrvvvus7p+zZo1ra5frrCwsFL34cUXX2w7emJE4x0yKsSXYuPM+tv+u2+eyn0+kAVTxEvQ9rglnnTFv23HAIDU6d27t+0IvpsxY4btCAAQmkMOOcTa2gcddNAWH2AZYyo9yxizac6XX37pY8rsXXbZZVbX35pGjRpZW7thw4Zb3M9NmjTJad6GDRs2zercubNPKWHTNddcE+j8KlWq5PwaszWbv+4EZdq0aRowYEBg84HN2fxyZ4MGDXx7TzBnzpwtZjVt2tTHpBVn64tOtrdTnzZt2qbbftmyZZWaMWzYsEh+eS2OuOViwh3uw7Y5tx4ts2zbe4eb//tz7msAFcQRw9tRvSZHZwIAUq158+a2IwCIKVsftpV/QDV9+vRA5u+5556b1jjvvPMCWWN77rjjDs2ZMyf0dbdlypQpWrRoUejr9uzZU57n6YcffghsjUmTJsnzPE2ePDmwNRBv77//vjZs2BD4OkGUm57n6be//a2vM4Ftsf2e4Mcffwxsje+//16e5+lf//pXYGtsy1VXXRXqerfccouV7dQbN2686b4M4nWr/EskUdldJE4oNWPAHfqktMvvchsy8iyZN1/1JxCQq54FthNEllviyR27wnYMAACsOuCAA2xHABBDDzzwQOhr2tgKcMSIEfI8T3fddVeo6+66666hrrc9YZ8HsH///vI8T2PHjg1tzU6dOsnzPD3yyCOhrQl/BFmkeJ6nAw88MLD521qza9euOc2oWrUq26YiVKNGjQp9TRvvCY499tjQvwhz6623hraWJF199dWhrle+TfCCBQtCWe+MM86Q53k655xzQlkvCSg1I849ppvUqntuQ+7uI/PvB/0JBOTqot1k1q21nSJy3NYHcXQmAAAb7b777rYjAIihv/zlL6GtNXLkSOsf0Pfr10+e54X6mnnKKaeEtta2XHLJJaGtVf7B5p133hnamr/Up08feZ6nQw891FoGRIPN15xnn31Wa9dW7rOcq6++WuvWrfM5EbB9Ye5qcN9991l/T1D+RZj+/fuHsl5YW8Aff/zxoaxT7r333vN9W++KGjVqlDzPU4cOHaysHyeUmlF3fo7nuZw2QmbymApdNI/dQBEw76xmMt/Pth0jctyr/iH9PZhtqgAAiCNKTQDZCmuLuebNm8vzPJ177rmhrFcRs2bNCu1ovieffFJffPFFKGtty/Dhw0NZ58orr7T2webWvP322/rnP/9pOwYssV2YSFK1atWyPg/cXXfdpSFDhgSYCvi1sN4THHroofI8T2effXYo61XEnXfeqaeffjrwdRYtWqQpU6YEvk5Y2+vWqFFDnufp4IMPDmW97XnzzTd18803244RaZSaEebHUVtm6AUVvqyTKc15PWCbzmqkzJL5tlNEilurTtnzvMP5tqMAAAAAsTVp0qRQ1hk4cKDmzp0bylrZKj+aL5uyobLatGkT+BrbsvPOO4eyztVXX61bbrkllLWycdZZZ0Wi3EK4WrVqZTvCFowx6tat2w4v949//EP9+vULIRHwP2+//XYo6/Tv3z+0tbJVVFQUynuCO+64I9D5bdu2DXR+ueHDh2vVqlWhrFVRAwYM4Pf9dlSxHQBb50uhWZTdt1IyG9bTciMY794ts2SR7RSR4u77e+mm4L/RBAAAACRdly5dAl/j0ksv1U033RT4Orkyxqh9+/Z67733Al1n1KhRVo5WXbx4ceBrxOFDRM/z5LquMpmM7Sj4hfz8fN9nfvXVV77PzNVTTz2lE088US+88MJW/z4OzyMkUxhbd5aWlsp13cDXyZUxRjvttJNWr17t69z+/fsHvi37nDlzNGPGjEDXkKSJEyfq6KOPDnydyvI8L5D7MO7osCLIHTg65xnZFpqS5PFmGAExN4ezn3tcuCUehSYAAADggwkTJgS+hud5uv322wNfxy/vvvtuhY6iykWY5yorF8b5u+JUxBhjVL16ddsx8AulpenZBe35559Xx44dt/jfqlevHqvnEZLl2muvDXyN8i+VxMWqVatUWFiY85y8vDz16tUrtPNMh1FOR73QLLdq1Sp+3/8C/So+egAAIABJREFUpWbEuEf2kg4+I7chPar5EwbwQWUK9qTKa7qXL0dhAwAAACgTZHmXl5cX2w/nn3rqKfXq1SvQNYYOHRro/F9atCjY3X/ieF+vWbOGDzoTrkqVaG+y98Ybb6hly5aSpK5du2rNmjWWEyHNBg8eHOj8OP6ekKRly5apZs2albpu8+bNNXDgQBlj9Nhjj/mcbNsWLlwY6PzJkyfHotAsx2vrlkIpNZ0QzumQBG7Hk6W/5vbiYIocmQ3rfUoE5IZC83/c3hfLufcL2zEAAACAxAj66EljTKDzg/bYY4/psMMOC2z+lVdeGdjsXzr11FMDnd+wYcNA5wdpzZo1oZxLFXbEYcvBOXPm6JxzztGzzz5rOwpSrHv37oHOj2uhWW7FihVZ/a5o0KCBPM/T3LlzQ99+P+jzZz/++OPq1KlToGsEIe6PQT+F8q4n78/hvdGNK7fNAdJlOW6b07uWP2EAH2SK47MVQ9DcEk/qNsx2DAAAACBRLr/88sBmH3fccYHNDtPUqVMDPZIvrA86n3jiicBm16hRQz/88ENg88MQZsGMcAVxjs4gjBo1ynYEpNz48eMDmx3G+ZzDMHz48B1epnyXih9//DGERFsX5O3duHHjwL8oFSSKzTLhfJXrhCGhLBNXTl6eNOSDnGZ4/faWWb3Sp0RAji7YjXO0SsqrUpXtZgEAqIQZM2bYjgAg4u6+++7AZvfs2VMvv/xyYPPDFuSWZddff31gs8u9++67gc5ftWpVoPPDMGTIkFDuCwCIIscJbqe4ffbZR/Xr1w9sfpj69eungQMHbvXvDjnkEHmeZ32Xitq1awc6f8GCBYHODwO7M3BOzUjIm5Dji8XHjyozb6Y/Yc5u4s8cpNflB8ssmG07hXVuiSfnqXW2YwAAEEszZ/r03hZAYgV5lObYsWMDm23LI488EsjcTCYTaMEsSZ07dw5sdpKOeBg0aJDtCAhA27ZtbUcAUqtly5b67LPPbMfw1S93WBg/frw8zwv8C0QVtXz58sBmf/fdd4HNDpPt4jkKKDUt8+MoLjPodB+SbJy1ONiT8CLh7j9LZtb7tlNY5R7we47OBAAgR/PmzbMdAUCEPfXUU1q/fn0gs5NUcm2uT58+gRXBN954YyBzy61cGcyuVB07dgxkrk3PPPOM7QjwGbtXANs3bty4wGbPmTMnsNk2vf7665o/f748z1NxcbHtOKHo8v/t3Xu8TXX+x/HP2svl4LidDrknNVLpwvQrKqWbioojlUhFpTQpyqAyuUyhlFCjKEaGalw6je7S0A3NpAxKUdRxSSRCnONYe/3+OJHrOfuyvuuz1t6v5+NxHlPN2Z/v++zL2nuvz/p+vxdfLHXr1tWO4ZlU/bwaK5qaiuzJi5Ou4eSYm14PxGeLOG9O1A6hys51RQa+rx0DAIDQW7VqlXYEAAEWy55QiejVq5eRukExYsQII3VN7n1l8mT1hx9+aKy2lrZt20qlSpW0YwCAbx566CEjdW+++WYjdYOgRYsWUrNm8FZrNLmM8LvvvmusNvxXyq+B7Izy4uTv9Gu4wLPveVak4mlJ1aChiWCpygxFAAAC6vHHHze6VCMA+Gn+/PlG6j755JNG6gbJ+PHjpXv37p7XPf/88+X9972/wNNUo7ljx45G6gbBl19+KXXq1NGOkbYuvvhimTNnjqc1LctK+1k5wJGsWLHC85plypSRv//9757XhY4xY8ZoRzDCdV2jjeAg82+mZrlM34YKOrvfSJGWtydXpHNFb8IAAAAg5d13333aEQDAE6ZmG44dO9ZI3aC57bbbjNQ1tUTmhg1mtshJxX1T96pdu7ZkZGRox0hbpmYDnXLKKUbqAmE2bNgwI3Wff/55I3Who2fPntoRjIlE0nMhVt/+6qibnnfwweyTmoo0651ckUcvEWenmT0lAAAAAAAIqtdff91I3R49ehipG0STJ0/2vKaJJWinTp3qeU0RkU6dOhmpGyQmlwSGjmXLlqXtjBzgSGbMmOF5zTJlykiXLl08r4viXXDBBUbqmlidIkgcx9GOoMK3TmOk8Rl+DRVYViQi8sii5Iq8PlCchd4uYwEAAAAEzTPPPKMdAUAAmVh69tlnn/W8ZpCZOlk7cOBAT+uZmv1pqlkaJBUqVNCOAEMsy0qL5zAQi88++8zzmq+88ornNVGyefPmGak7btw4I3WDJDMz/VZI9W/65H2v+TZUUEVmJtk5n/YXcSYM8SYMAAAAEGBfffWVdgQAAbRnzx7Pa95+e5Lbw4TQZZdd5nlNr5frM7EkcDot09a/f3/tCGlr0qRJRuvfcMMNYllWWuwDDByJiX2cRUTatGljpC5gyhVXXKEdwXfp82lOmZ2b5IbeH40T56WHvQkDAAAABNynn36qHQFAwJx88sme16xXr57nNcPgrbfe8rzmxo0bPa23detWT+uJiLz88sue1wwqU3vNoWQ33XSTL+Pce++9YlmWWJYlK1eu9GVMIChMXDxw7bXXel4TetauXasdwRepvE/4kdDU9IH9wMSkazhP3OFBEgAAACAcTCwxCSDcTMzS/P777z2vma5MPD5eS8fZDNBRv359X8dr2LDhvgbncccd5+vYgIY5c7zfnm3kyJGe10TJvvjiCyN1a9eubaRuEPn9nqPN16amXTXbz+ECwW52lcj/dU2qhpPDRuAAAAAAgPT23XffaUdIKWeeeabnNbds2eJJnX79+nlS52DlypUzUjeoypQpox0hba1evVpt7FWrVu1rcFqWJf/4xz/UsgCmmJiFl05NsCBp3LixdoTQa9iwoXYEX/k7U7NGet25dv2GIv3+lVQNlYbmxyP8HxMAAAA4yJVXXqkdAUCA7N69WztCSvnkk088r5mVleVJHRNLz1avXt3zmkFXUFCgHSGtNWvWTDuCiIjceOONBzQ5H3zwQe1IQODUqVNHOwI8dOGFF2pH8NU777yjHcFXpbQDpKqIXUrkya+TK3JtWW/CxMl5vK/Y5/xZZWwgVmGbwZz0vroAACQpIyND8vPztWPEZcWKFdoRAKSw/v37a0fAEUSjUc9rvv32257XBIqzYMECsazgnbsYOnSoDB06dN+/d+vWTSZMmKCYCIjPRRdd5HnNb775xvOa0PPee+9pR4BB/s7UHPqxr8NpsmYUJlegWzVxCrkKFTjE9RVC19AUKWrCRjtW0I4BAEhju3bt0o4QN5qaAPa66aabPK85bNgwz2vCG7NmzfK8ZkZGhuc1gZK4bvAvcJ44caJYliW2bUuFCpy3QHqKRPxtkwBeq1evnnYE3/BqNSDpGVn3/EGcLT95EwZIFfedLE6OJU7+Tu0kCXMLdhY1ZD8dpx0FAIDQuOCCC7QjAAiAadOmaUeAjzZu3Oh5zRNPPNHzmkAsZsyYoR0hJtFoVHbu3LlvmdoTTzxR1qxZox0L8EXp0qW1IwBJadWqlXYE39DU9FjSDc2/XipOHtPdgX0eu7SombnqS+0knnEeuUPkT8dqxwAAIBQ+/fRT7QgAkLI6dOigHQFIeVdffXUoTzZ/9dVXUq9ePbEsi4vMECjbtm3TjgAETjrNNvb9L7VPP9vvIX1jX9YtuQL/GizOZ7O9CQOE3ejORc3MBan5mnDWf1c0a7MnVwsDAFCcHTt2aEcAEAAm9liEyPTp07UjAGnhnXfekU6dOmnHSNi8efPEsiypWrWq3HPPPdpxkOaWLFniab10agYhdXXs2FE7gm/8f8VmNfB9SD/Yl9wscntym2o7kwZ5lAYIsXG3FTUz572oncQXztqvipqbU3poRwEAILBYDgoATU0gMVlZWdoR8JupU6fK7NnhvnB769atMmbMGLEsSx599FHtOEhTu3fv9rTe2Wen7iSsoNu8ebPnNc877zzPa4ZBOs2o97+p2bG770OaZrfvJnLn35Oq4eRYHqUBQmrGg0XNzLef106iwpn5bNFxYEWudhQAQApbtmyZdoSE7NmzRxzH0Y4BQBFNTSAx2dnZ2hGwn0suuURcN8mtqwKif//+YlmW9OzZUzsKkJTx48drR0hbjz32mOc1+/bt63lNBIv/Tc1qLXwf0iT7qOoiXZKcoUlDE+nsXwOLmplTh2onCQSnX3uRa8uKbP6fdhQAQAo6+eSTtSMkrFSpUtoRACjyuqnZp08fT+vhd++++652BOwnzEuepjLXdWXkyJHaMTzx9NNPi2VZ8sknn2hHARJy4olsDaXFRFOzTZs2ntdEsKgsGG2XzdAY1nNWJCLy/I9J1aChibS1bGpRM3PSEO0kgeMU7hbn1tN/Oz78qh0HAJBiwrxnTO/evbUjAEgRXMVvTn5+vnYE7Cddl+ELg969e6fMrE0RkWbNmolt27JlyxbtKACAFKZzRqNFe5VhvRaZmeQSWP1O8yYIECpfFzUz/3KDdpBQcHIyRfqeoh0DAJBCypQpox0hYaNGjZJff+WCHwAIsquuuko7AvbzzTffaEdACVzXlYkTJ2rH8EQ0GpWsrCy55JJLtKMAAFKUTlOzegOVYb1k5yZ5JdUHj4qzYok3YYzYrh0AKcjJscTJaaQdI3SclcuKZm1uYhknAEDyuncP9x73mZmZ2hEAAAiNxx9/XDsCYtC1a9eUam7OmTNHLIvV6QAA3tNpal7zV5VhvWL3SHKt50/+Ic6T/b0JY8rEO7UTIIUUNTP5MJssp3urovtx+xfaUQAAITZ69GjtCEnjJBkABNe5556rHQH72bFjh3YExGFvc3P8+PHaUTxhWZbs2rVLOwYAIIWEd0MdJfa5HURa/TnxAvP/Ls7wG70LZIjz2hTtCEgBNDPNcG5szP0KAEhKpUqVtCMkjcYmgGTk5eVpR0hZDz30kHYE7Gf9+vXaEZCA2267TVzXlYcffjj0n9vKly8v27ezIhwAwBtqTU37sk5aQyfMPqmpyH3Tk6iwSZwR3TzLAwTTrzQzfcL9DABIVL169bQjeMKyLFm3bp12DAA+iES8PX0xZswYT+vhdw0ahH/LISAoHnzwQfnll19k2bJl0q1bN8+PhX6pVKmSbN68WTsGgICpXr26dgSEkN47YeOL1YZOhF02Q+SRRUnVcHJ4kSKFuf/7rcnGPld+c3Iskccv1Y4BAAiRpUuXakfwTJ06daRatWraMQCEzOTJk7UjpKzjjjtOOwKQck4++WSZMGGCOI4j0WhUWrZsGboGZ3Z2tvzwww/aMYBD/OMf/9COkLZ69erlec0XXnjB85oIFr13v3O6qg2dkJeTW/+d2VRIWWvfKmpmtj9dO0lacz6eXXSc6VpTOwoAICTKlCmjHcEzP/30k1iWJRMmTNCOAsCQUqVKaUeAjzIzvb9Ydvny5Z7XBDRYliVz584Vx3HEdV2pV6+eZGVlaceKSa1atbQjAIcYNGiQdoS0ddddd3le8+abb/a8JoIlXJf0KLFz3aRuT0MTKenj5yR6tS1Oz9baSbAfZ+sGjjkAgJhcfHG4Vk6Jxa233iq2bcsFF1ygHWWfqlWrim3b7AEKJClsM5KQnNNP56JZIFbff/+9bN68WVzXlR07dmjHKZFt29oREHJeN8dXrVrlaT3ErmLFitoRUsbtt9+uHcE3qt8K7HuHaw4fk2QbmtKTZVeQYmbcL9HryonzeHdxo1HtNDgCJ8cSuaOudgwAQIC98cYb2hGMiEajMm/ePLEsS4477jg57bTTfBt7+/btcsIJJ8ixxx4rlmWJZVmydetWifKZCUBA+XmMjMdJJ53kec1XXnnF85pA0FSoUEFc193388EHH2hHOkQ0GpV3331XOwZCrH79+toRACjSXb+lbjPV4UtiH5XkHphP5Yizlis9kCLyPxfp2VqcnzZoJ0GMnB/XCtc/AgCK07JlS5k3b552DGP2XnW9d5Zky5YtJSMjQ26++Wa57rrrEq57+eWXi0jRSbm8vDz56quvkg8LAAqWLFmiHcE3AwYMkAcffFA7hq9OPPFE7QhQ1qJFC3HdAydslC1bVnbv3q2UqEirVq0OyQXEKiMjQzsCEDg//fSTdgTf6K7fUv981eGLY1XKFnn+x8QL/LOnOP9+1btAIcPylynmzmPEub4pDU0AAFLM3XffrR3BV/PmzZO3335bOnbsuG8mZSI/b7/9trz99tsye/ZsGpqAT15++WXtCPBR+/bttSOkBN6jcDgFBQX7ZnKOHTtWLcdFF12kNjZwsIKCAu0IQFLefPNN7Qi+Ud+Uwm7QSDvCIey6x0vkhU2JF/jXI+K8/LR3gcJmYg8RobGZEgY2FyfHEueHPO0kAADAgJycHPapAxAKbdu29bxm3bps1xBUl156qZG6qbr0OpCoHj167Gtwvvqqv5Mz/v3vf/s6HlLHe++953nN119/3fOa0PPDDz9oR/Bdfn6+dgTf6J/BGBSsqy3t8pkiY1YmVcOZNMCjNCG15fepzk6OJTLtfsUwSMiYtkXNzCULtZMgCXbFKtoRAAAh8PDDD2tHAAAVa9eu1Y6gatOmJC7mPoIqVbz7DmLiopsBA9LnfA17FiJebdu23dfg9Gt5z/vv55whgqFjx47aEeChWrVqaUfw1bhx47Qj+Eq/qVkxYJvST92e1M1TanbimtzEbufsPPBfXxou8nwPDwLBuCfbFDUz587STgIvTN6inQA4rGSWfEy3n2+//Vb74UIa4GQSgLCoXr26doSUcvzxx3tec8sW776DdOrUybNaey1evNjzmkHVqlUr7QgIsV27donrutKokdkV9h577DGj9YFY7dmzRztC2rriiiu0I4TetGnTtCP4Sr+pGSB2bnIbVKdUQ1NEnLsT3MNixaeH1nrjWZHHLkkyEYwZdWVRM/OD9Fl7GwCCLhKJyHHHHacdA2lCcz8lAIhVdna25zVfeOEFz2uGxbZt27QjFKtx48ZG6o4YMcJIXSAVLV++XFw3ufOlxYlGo8ZqI7WZaIQtXbrU85oo2WuvvaYdIfT+85//aEfwVSCamvbT+muo27nJbZ6eag3NZDibNx7+vy+Yw/0UNEPOKWpmvs+68QAQJJFIRBzH0Y6BNNKjB6tqAAi+xx9/3POaN998s+c1w8BEkyIrK8vTev369fO03l59+/Y1UjdIbrrpJu0ISDGu6xrbh/366683UheprUaNGp7XvPDCCz2vCT3nnHOOdgTf7NixQzuCrwLR1JTaF4h9071it+kkdo06B/5UryV2ZqVDfrxkX9FdRE5IvMDA5p5lSQc0NgPgjrpFzczP52sngSHJzjwHoGvVqlXaEZCGPvjgA+0IAFCsyy+/3EjdzZs3G6kbZCaaE+XLl/e8ZqlSpTyvKSIyYcIEI3WDYvLkydoRkIJMXXQ5fz7nphC/5557zvOaP/30k+c1oSddji3HHnusdgTfmfl0mIh2TxT9762x/bptLkncnCULtSOEjpNjiX1Vd5Gu6bWJrTYaygAQfBdeeKEcc8wx2jGQhlq0aCFZWVny888/a0dJSdFo1NgMByCd1KlTR9auXetpzYsvvlg+//xzT2umozVr1nhe84EHHpAhQ4Z4Xvfee++VW265xfO6QfDII49oR0AK27Nnj+cXG+Tl5XlaD+kjEol4voTx/fffL8OGDfO0JmDSd999px3Bd3yrhrde7Bnzrzqzxovce6LBMNjnxqo0NAEgBLKzs+W9997TjoE0lo6zlfzQv39/sSw+iwFeaNq0qec1Fy9e7HnNILvyyiu1I8Ssffv2Rupu27YtVPdDPAYMGKAdASnMtm3Pl5oGEtWnTx/Paw4fPtzzmiiZqcZcqn8Hu+2227QjqKCpCW99Ft+0bmf1VyIdyxkKA5lwe9Eys9u3aieBj1h6FginSCQimzZt0o4ByLnnnqsdIaU0bNiQq70BD/3rX/8yUrdt27ZG6gbR66+/7nnNZs2aeV5TROS0004zUlfEzP2grXLlytoRkAa4CA5B0bp1ayN1Te3pjCNjtarEPP/889oRVNDUTNb/vF+/O9Tc+Kf8OwX5zCI05ZZxYue6Yp/aUjsJfBKxg7OqOID4TJo0STsCICIiH374oXaElBGJROTrr7/WjgGknMzMTM9rzpo1Ky1eryeffLKRuu3atTNSV0Rk5MiRxmqfcMIJxmr7bfDgwbJt2zbtGEBC2rRpox0BIXT++ecbqfvYY48ZqQsdqTpb84UXXtCOoIamZpKcQd21IwTLpsSnitPYNGjw3KLm5innSqR0Ge00MMiqXk87AoAENGrUSLp06aIdA9jHdZn1n6xIJCKO42jHAFJS9+5mvoc3atTISN2gWLBggXz55Zee141EIkZntfTu3dtY7RUrVshNN91krL6fBg0apB0BSBh7uiNRo0aNMlLX1EVAOLLjjz9eO0Ko3HzzzdoR1NDUhKeSXebUybFobpo05EOxphWwPGkqG/utdgIACVi+fLl2BOAQtWrV0o4QajQ0AXOeeOIJY7UfffRRY7W1nX322Ubq3njjjUbq7i8SMXf6avLkycZq+8W2be0IAKDinnvuMVL3yy+/lB49ehiprW3YsGFiWZZs375dO8oBVq5caax2qs3WTLW/J140NRFMt9TUTpDy7Fy36KcyG7ynCrtBal9ZDqSqhQsXakcADmvdunXaEUKLma6Aea1atTJSt3///kbqarvvvvuM1f773/9urPZea9euNVo/zCcHmzdvLtFo/FsBAQCKN378eO0InluwYIE88MADIiJSqVIlqVixovzzn/9UTuWPdNo/PdXR1EQJdDb/dn7eINKjrsrYaWfS5qLm5vAp2kmQrHLZ2gkAxOnNN9+Us846SzsGcEQ05+LHfQb4Y/jw4cZqV6xY0VhtDS+99JKxfSmbNm1qpO7BatY0f+FzGBubXbp04QI5ADAkGo1KhQoVtGN4qnXr1gf8+44dO6Rjx45SoUIF6dy5s1Kq35m8iGnWrFkp8V0tjJ9XvEZTMxnPXKOdwAdHxf6r/+zp6cjOhrUsReunEzrvm72JkHr4Q+0EAOJQqlQpufzyy7VjACVKhS9+fuG+AvzTpEkTqVKlipHaO3bskKOPPtpIbQ033HCDsdoTJ040VvtgeXl5xseoXLmy8TG80rVrV5kyhYuTw8rk7OkwysrSWUVs2bJlntc0tRwqjszkZ/CdO3dKkyZNjNX3U9u2bWXr1sNvHbdz50558cUXxbIsueWWW3xO9rvatWsbXXK+TJkyxmr7oUWLFtoRAoGmZhKc2TO0IwSK8/qLZurmWCI/06zx076laauxl1ZY2Oe2144AIE6FhYXaEYCY0awrGfcR4L85c+YYq71x40a5+uqrjdX3S9WqVY0tTZqRkSGnnXaakdqHU7eu+dWctm3bFooZENddd51MmjRJOwYSdNppp8nIkSND8Vzzy7Rp01TGPfnkkz2vOXbsWM9romQmGtR7LV68WP785z8bq++HuXPnyqxZs2L63YkTJ4plWdKzp7cTmGJVo0YNY7X37Nkjf/jDH4zVN6lz587y0UcfaccIBJqaCAXnlvNEHs/RjpF+xq8ram7O/Ew7CUpy30ztBADiwDJhCCOadocXiUS4bwAlf/zjH43N1hQReeWVV0J9ErNy5cpHnJHhhVhPjnpp1apVvowT5GZT6dKl1RpASN4pp5wiS5Ys2ffvVatWVUyTGBOfe1Jpic89e/ZoR0hLJhrU+3v88cdl9OjRRscw5euvv5YLL7ww7ts9/fTTYlmWNGnSRN59910DyQ5v3bp1Rut/8803oZt9++ijj8qLL5qZUBZGNDUT5mgHCBy7cKfR+s7Hr4r89XyjY+AIIk32zd6M2KW00+AgdoNG2hEAxKF9+/bso4nQonl3oOOPP14ch+8FgCaTey+JFJ3EHDx4sNExTChdurRs27bNWP0GDRrIJZdcYqz+kRx77LG+jWVZlvTu3du38UryzjvviGVZNExCateuXVK7du1DZpNt3bpVjjoqjq2fAsDk0pBAMnbuNHtuulevXjJu3DijY3htzZo10qhRcucNFy9eLK1atRLLsuTDD/1ZTfGMM84wWn/x4sWhaWw+8cQT0r9/f+0YgcK7UKJ2LCn5d9KMU5BvfozPPhC5vbbxcXBk1ozCogbnGZdpR8FeF96snQBAHGbOZGY1wo3GZpGJEyfKypUrtWMAaa9ChQrStGlTo2MMGjRIjjnmGKNjeOWHH37wpfH17bffGq1fHD/fh0aNGhWIWZtXXnmlXHYZ38HDrHz58rJ+/frD/n8///xzIJ5nsTBxMVdGRobnNbWVLl1aO0JaKleunPE9E++44w659NJLjY7hlU2bNkm9evU8rXneeeeJZVmyYMECT+se7L///a/R+iJFjc2gL0Xbu3dv6dOnj3aMwKGpmagBHbUTpC1n4/qifTah68G3ipqbAyZqJ0GbftoJAMSIZhBSheu6UqpU+q7ekJeXJ127dtWOAeA3ixYtMj5GXl5e4JsOixYtklq1ahkfp1u3bsbHKEn79u19Hc+yLGnTpo2vY4qIjBgxQizLktdff933seGdWI8dQT/GiIiRz3/t2rXzvKY2ZlTrKSgoMD7G7NmzA/96zc3NlerVqxurf/bZZ8t1111nrL6IP+/133zzjVSsWNH4OIno0aOHjBo1SjtGINHUTJDz/QrtCMbZNby9ksNrRY3Npdox8MeuRc3NiUvELp+pnSbt2Pc/qx0BQIyef/557QiApwoLC40vCxQ0F198sbiuK3Xr1tWOAuAgDz/8sC/j+DE7IRGWZfl2TJ4wYYIv4xRHY+WLN998UyzLkpo1axof65prrhHLsqRv377Gx4I5559/ftyND8uy5JlnnjGUKDk9e/Y0UtePizE0BL3plcoGDBjgyziWZcn06dN9GSselmX50hD85z//abT+zJkzfVnueseOHYF7vVqWJc8+yznfI7FcpgwkJB1mCtq5cTw1hpwjzufzzYUpQVxZYdgakSlDxJnJyXs/8NxH0D544fAyMjJk165dCd02rI9x2D9ihul+176v77kDtcHvAAAgAElEQVTnHhkzZoxqBj+8+OKLcv311ydVIwzPK+3nU9CYeMxatmwpc+fO9bwuipb783N2TBBeL2+99Za0bt3at/E2btwo1apV8228kmgfV5P5jHewyy+/XN5++21Papnk5/Pe68c3TNmzsrJk8+bNHqVJXo8ePYydYA/CsdTUsaRMmTK+zBz0itf3w5QpU6Rz586e1oyV3+8PQXge//jjj1KjRg1fxurbt688+uijxsd57bXX5KqrrjI+zv40H8tLL71UZs+erTb+wYLwvD4cZmomYusX2gkCR7OhKZIeTebwqCtyw3NFszevYxNjk+wzWmpHABAjr052AUE0evRocV1XsrOztaMY0b9/f3FdN+mGJrDXvHnzxLKstP4xpbCw0FjtwzH99xRn5syZYlmWrw3NVq1aBaqhKSJy6623qo6fn59/yPP7tNNOK/F2e5eV3f8nDA1NxMaL48LefTaDsH/3WWedZayhefrppxupGxS7d+9Wv/giXfndjNH8TFBQUCCWZfnW0IxEIr40NEWK9pRu2LChL2PtZVmWNGnSxNcxHccRy7IC1dAMMmZqJmLZBHH+ovvB2Q/xzAALSlPR5Ky1oPyNe9nDJ4vYv+1lcHzAT7JNukfk7fHiFORrJ0kpzNKEiP7V6ShZslenhvUxDvtHzDDd70G6r7t27SqTJk3SjuGJxo0by9Kl3m51EIbnVZCeT0EQhscsjEw+z26//XYZP368sfrF8eP106RJE1m8eLHxcQ4nqMcH27YlGo1qx0gbYZrteDA/spt639B6/Zl+H3zllVckJyfH6Bix8OM40qdPHxkxYoTRMZKVSjM1RYqW8p4xY4bK2Hl5eca3rJg+fbpce+21Rsc4HI3jkeZncpN/b5cuXWTKlCnG6icrqJ/9aGomIGjNLVPC2NQUMdjoGdtZnHdfNFM7YOxb+4u0GeZ94dVviYwfIM5Xn3lfO83YNeuJjP1eOwYCgJOtwdagQQP59ttvk6oR1sc47B8xw3S/B/G+/r//+z/59NNPtWMkpH79+vKf//zH89lI33//vdSvX9/TmiYE8fmkKUzHgjAx/Tw79thj5bvvvjM6Rkm8PFFfrVo1+emnnzyplaigHxt4rR5q72MWxsbgXmHL7sfzMBKJiOM4xsfx42/xcvnmZJ1wwgmyYsUK38YbM2ZMXHuU9uzZU55++ul9/96hQwcjezmmWlNTRKRq1aqydetW1Qy9evWSJ5980pNaJpeCjkWzZs1U9hZ/44035IorrvB93P159bd/8cUX0rhxYw8SmRfUz38sP4uU4+RYIu8baMjdOVXs8pne1w0g5/nh4uRY3jerj71cZNiioqVp658qlg+bPaessf592AaQuGQbmkBY/fe//xXXdUPRxNurQYMG4rqurF692sjyiqNGjfK8JoDDW716tXYEad++fdxL7z7zzDOHvY12Q7Nly+Bve+G6rkT4frlPqi4JH1RffPGFb431aDRqbDlvP5YJ39/EiRN9GScWX3/9ta/j3X333XEt275/QxPx2bJli3YEGTVq1GEf1//9739HvM3cuXMPexvNhmZGRoZKQ1NEpE2bNpKVlaUy9l4LFy485PEoV66c/Pe//z3ibXJycg65TVgamkHGJ764BeMKIhTPGfWAmdmjU7d7XzPg9jU38/7lbeEn/yeRmY7Y13SnuRmnovurrHYMACUI6hVtgJ9Wr14trutKmTJltKMcViQSkYYNG4rrulyEAKSYoL4PF3fS+s4779SOd4hSpUrJ3LlztWPE5Pnnn9eOEBibNm3SjpA2CgoKVE9QH+l4Ytu2fP755/L555+LiOz7Z439jg8nEokEbr/yWrVqaUeAIUH9THD66acf8fV44YUXasc7hPbM6s2bN6uOfzj5+fly5plnHvFxfPXVV33JEdTv26bQSYjXF3O0EyAeXSp7XjJd9zF07mknTo4l7m0erwffaVxRczNN79dERGaaX2oGQHJOOukk7QhAoBQUFIjrurJ+/XrtKPu4riuO4/h+ZT4A/wT1JGaYFBYWakeIWdeuXeWuu+7SjqGO572/ypYtG8gLEqLRqDRt2lSaNm0qlmXt++egmD17tnaEQ5x66qnaEWAQx8bkBOX+2717t3aEQCooKJBmzZppx/ANTc14fRzcjVu9ZL8wL/ZfnqC7NnpxnB3bRDpXFJHgXckRVtGf1hbN3Ly/uee17VxX7FxXIqXS6+oSAKmlUaNG8sUXX2jHAAKpZs2a4rruvp/MTP+W9j/zzDMPGBtAetBeujXMwnisfOqpp+Shhx7SjqHmjjvu0I6Qlv72t79JlSpVtGOERp06deSiiy7SjnGIt956i2WsU1yQljwOk0GDBmlH2Kd06dLqe6QGTRg/ryWLI3WcnLemaUfwR6XzY/5V5/UXDQZJnrNzhzg52SKy1LOazCoUcb5aWNTcHOR9c9OaXlDU4GzfzfPaYcdzDwi+5cuXa0cAQmP79u0HNBq9OhFdpUqVA+q6riuffPKJJ7UBhMtRRx0lY8eO1Y4ROmE+QTZ48GD54IMPtGOoeOaZZ7QjpK0tW7bQEIvRmjVrtCMcUfv27bUjwKCuXbvKyy+/rB0jVM4++2wZOHCgdowDVK5cmc92v0nX5zPvtkgbTs6pItN7e1aP5lIR53+/NTdvPVrklcHeFu8yYd/sTfbdBBAGQVxGCQiTwYMHH9KMTORny5Yt2n8KgADp0aMH+y3GqEyZMqFuaO7VokWLlPg74pFuf28QOY5DY7MEGzdu1I5QrOnTp6fd3nTp5rrrrvNtn8Owy8rKko8//lg7xmH16NFDWrdurR1DVY0aNeS6667TjqGCd9p4fPWadgIkyXlxlERvP9azenbnXp7VCjtn80Zx/jGoqME5d4Tn9ffuu2kf39jz2mFBIx0IthtvvFEuueQS7RgAAoplkgBdt9xyC02fEjRo0EAKCgq0Y3jKdV0pVaqUdgzjeG4HB43NI5s/f75Uq1ZNO0aJUu04iEO1bduW42YJmjVrJps3B3s7tzfeeCNtG5vly5eXH374QTuGGt5l45G3SjsBPOBu/K5oVqEXOjwpdp1G3tRKIc6YvkXNzZ7HiYjHB9gRS4uam73GeFsXAJJQqVIleeGFF7RjAAiwDRs2aEcAIDR/juTMM8+Ub7/9VjuGEYWFhTJ8+HDtGMbwnA4ex3GkceP0vSD7cBYuXCjNm3u/fZEpHTp00I4AH3D8PLxBgwbJggULtGPE5I033kjLZaN//fVX7QiqaGrG4/3J2gngEWfzRolebYu4HjTcnloudmmWpjgcZ+0qcXJqiVxb1pv7en/n9/xtadpoWixNyyxNINh++eUX7QgAAm7VquBfIJmZmakdAfCF67pSp04d7RiBMXz48JTfd7hfv34pd3FJZmYmJ+QDbOnSpbJs2TLtGIEwadIkOeuss7RjxGX69OlpMcsbRZ8JGjViwsperusGbg/NksycOVPmz5+vHcM3vPfT1IyL8+Vn2hHgITcaFad9LRHxYCr9NJamKI5TuFuc9rWKZm/me/1l2fp9adpzL/O4NgCUjA3qAcRixYoV2hFKVL58ee0IgG/WrFkj3bt3146hznVd6devn3YMXxx99NHiuq707dtXO0rS5s2bJ9u3b9eOgRKcfPLJkp+fn9bL0c6ZM0duuukm7RgJKSws1I4Anyxfvlwefvhh7Riqwn6hTPPmzdNiu4+dO3dqRwiE9H1XxRHZreJYYmFiF3NBfOLkZIvMvCfpOva57TxIk/qc65sVNTdHXOp98fveKmpuPjJL7KrZ3tdXwixNILg6dOggPXr00I4BAJ6oUqWKdgTAV+PGjZNoNKodQ0WnTp1CffIyGY8++mho99qsVKmS5Ofny/nnn68dBTEqW7asOI4j9erV047iu9dff10uuugi7RhJSdfjZDp68MEH0/bxbt26dUpcKFO5cmVxXVeysrK0oxjhuq6UK1dOO0Yg0NSM1aTkm16h0WN6zL/qvDbFYBD/OFPGFDXaknFfrth1G3gTKA0482eLk2Mlf78fzklXikzc9NvytL/9DHtT7KGvi93+jlAtF2yf1kw7AoBiTJ8e+3smAAAIHsuyxHVdueuuu7Sj+Gb+/PkydepU7RjqCgsLZdasWdoxYjZ27Fj55ZdfpGzZstpRkIDvv/9eJk9On22tXNeVNm3aaMfwRLo2utKV67oyZMgQ7Ri+iEQisn79ennjjTe0o3hq8+bN0q5dak0+4jh0IJqasSrYoZ0APki6wTbmW2+CpJl9zc1/DzM3SKPLRU5sI9LlGZFpBb83Oyd+KvafxhT9tLhM7LIZ5jIkYlA4NuYG0hEfKgGkmvr162tHANQ89dRTsm3btpRehrlbt27iuq40b95cO0pgXHnlleK6rkyePFmys4O52k/r1q3Fdd2EVgcZNszgd2zErUuXLuK6rjRt2lQ7ijH9+/dPye9Jqfg34cj+8pe/iOu6Ur16de0oxnTo0EEcx5GaNWtqRzEiNzdX8vLypFKlStpRklKnTh2OP4dBUzNWC17VTgCfFDU2f0n49vY/V3kXJs04Tz1QdP8POce/Qav+UeTinkU/974l8vKu3xueD04Su12vop+6DSRi+7s8kd2+m6/jAYjdVVddpR0BQIi0bdtWO0JM3nnnHe0IgKqKFSvKr7/+Kr169dKO4qnzzjtPXNeVCRMmaEcJrC5dusimTZskPz9funXrFog9EPc2oZOZQTNmzBgPE8ErixYtkiVLlkhmZqZ2FM9kZ2fLl19+mdKN9LAuW43E/fjjjzJy5MiUetzPPPNMcV03LVadqlu3rvzyyy+h3UO9VatWsmbNGu0YgaT/KS0knF9+1o4AHzk5VUR2fJzYjcscK3a9k7wNlGacz+ebW5o2HmfcJHLTk0U/Y74Va0bh7w3P24eK3eyqop/qtcyM34WTDkAQZWRkyL/+9S/tGABCZM+ePdoRAMThySefFNd15YorrtCOkpSmTZuK67ry/vvva0cJjbJly8qECRPEcRyZM2eOtGzZ0teT2eeee64MHTrUsyb0hg0bPEj1O/Ze9s4pp5wi27dvlz59+oR6hnilSpVk0qRJsmnTJjnxxBO14xhXWFgozZqxTVA66d27txQWFsq9994b6gsR6tevLzt37pRPPvlEO4rvxo0bJ67ryqmnnqodJSaVKlUS13W54LQYlsv81RjsEicnvB8w4mXnxv6UUG86GWbXri/y9OqEbut2KC1RhxNYXrH7jxQ5q7d2jNiM7SzuiiUiImJt+k6cnfEvXx3P6xDpzbJS+zgcRH5/dArrYxz2j5hhut/Dfl+ng7A8n3guHSosj13YhO25ds0118jbb78tO3aEY1uaxo0by9KlS7VjpJwrr7xSVq1aJatWrZL8/HxPataqVUuysrKMPV5eH8Pq168vq1cndo4kEV7nD/KxJzc3V+666y5Zv369dpSYVKlSRYYOHZrQssipoLCwUDIzM2X37t0q43fo0MHITDuvX3NTpkyRzp07e1pT22uvvSa33nqrbNy4UTtKTBo1aiTLly/XjhEoxx13nKxaFbyVFiORiJx99tny4YcfJnT75s2by8KFCz3NFNT3zdSZO23SsGu1E0CJs+47kRwroQaTNaNQJMWbvn5yht8rIveKSAgafndOlf0feXv//6/nH8TZuF4iEhV3z25xo9FDbm5XDeZeLgBE/v3vf2tHAAAjgrqXHBAE+584rlixYiCbm6VKlZIzzzxTPv44wRWHUKLXXnvtkP/2ww8/yA033BDzScSLL7441Ct+pNISjEGTk5MjOTk5IiJSoUIFyc/Pl+hhzhdoK1++vPz666/aMdSVLl1aCgoKjDQREGxXXnml/PjjjyIiUrt2bdmwYUPgXquRSESys7P35cSBvv32WxEJzrE2EolI/fr19+VCyfg0Eov8n7QT+MaunBX7L49sYy5I0HQsJ/LyrrhvZt90rzgvjDQQCKH11Mp9Tc4DW96OSPd64mxaLzJxk/+5EFpBvWoK3uEx1hGm+71mzZraEYr1ww8/aEdQ1aRJE+0IMWnatKl2hEAK07EA/ti+ffu+fw7CTN6GDRvK119/rR0jbdWsWVPee+897RgpK12Pwfs3DUuXLh2IZexXrFghf/jDH7RjBM6CBQtERGTgwIEyZMgQ5TTJS9fXXKLWrVu375+DcNFT9erVaWTGYf9jrdZnOi9fc3uPR+mA5WdjEL3aPuxsqlTE0rNHZvcZKXJO/Mufptv95Ae7dBmRaQXaMQAACIQgnFQvzs6dO6VcuXLaMdQE5WRkSS677DJ56623tGMAodW7d28ZNWqU8XFq1KiR9heLIHZef0Y4/vjjZeXKlZ7WROymT58u117rz2pyTZs2lUWLFvkyVqox1eB88cUX5frrr/e8Lszw4ztaqVKlpLCw0Pg46aZFixby0UcfGamdkZEhu3bFP3EKB4poBwiDdGloonjO4/eKRL+P+3aBXyo1hJzC3SKT/6QdAwAAxOCKK67QjqCmsLAwFA1NEaGhCSTpySefFNd1D/k544wzEqqXlZUlN9544yH1aGgiVs8995znNWlo6rrmmmsOe5y56qqrEq7ZsmXLw9akoZm4wYMHH3J/1qlTJ64ajz322CE1aGiGy+FeVw888IBkZmYmVK9jx46H1KOhacaHH354yH390EMPSUZGRlx16tWrJ3PmzDmgDg1NbzBTsyRfThXnwRu0U/iGmZrFsytniUzanNBt0/H+Mo2GMQAAIpdcconMmTNHO8YRRSIRcRxHO4aKcuXKSX5+vnaMmPC1EABSi4mVAnivAAAA2pipWQL32aHaEXxjRXg6lMT55WeRe09O6LZ2hUoep4HceYx2AgAA1DVq1Eg7QrGi0ahcc8012jFUhKWhGe/sAQBA8IVlpQAAAIB40MUqgbXzJ+0IvomUiW8KdbpyVn8psvn9+G845Rfvw6Q554c8kY0fascAAEBVmTJltCOUaNasWdoRfBf0vU7317p1a+0IAAAPFRQUeF6zWbNmntcEAACIF03NEjibN2pH8I3D0yFmzq0tE7ody6V6z7n9PO0IAACoysrK0o5Qot27d8s999yjHQNHcMMN6bPdBgCkg/79+3tes1IlVp8CAAD62FOzBGm1D2JGptgvbY/td1/oKs6rk8zmCYGEmpQfDBPnyQe8D5PG7FYdRHpM144BAICasMwKTJevHmF5PPZKl8cFANKFifch3isAAEAQMDWvOI9coJ3AVzE3NEVoaO716n3x3+a8+73Pkeac2TNE1s3VjgEAAEpQrVo17QjG3XdfAp8PFZ100knaEQAAHlq5cqV2BAAAAGNoahYjumShdgQEnPPCyIRuZ+e6YkV4+XnJuetC7QgAAKipXr26doSY/PRT6u9XP3JkYp8PtXTr1k07AgDAQyaO6w0bNvS8JgAAQCLoqhRnz27tBAiBRJcojgyc4XESyEs9tBMAAKCiV69e2hFiFralWeMRxr8tbDNLASAW119/fSiPyV746KOPPK954YVcRAwAAIKBpmYx3GhUO4JvInYp7QihllBj89QcsU86w/swacyZ9qzI9+9oxwAAwHf169fXjhCXVDzRHMa/qUqVKtoRAMBz5cqVk5dffllERE444QTlNP7661//aqTuM888Y6QuAABAvCyXnb6PKNEZeGFk120gMubbmH8/ne6bWNm5ib2Uol2qirtjq8dp0luijwUAAGEWtqZa9erV5ccff9SO4Ymw3fd7vfLKK5KTk6MdAwA8c7jjcV5entStW1chjf9MvB9lZmbK9u3bPa8LAACQCGZqHkG6Ne1cO1M7QuglvAztP7Z4nATyfBftBAAA+K5MmTLaEeKyceNGueCCC7RjJC2sDU0RoaEJIGVYlnXE43G9evVk3bp1Pify3znnnGOk7oABA4zUBQAASARNTcTvH7doJwisRBub9q3DPU6S3pw3pmhHAADAd+PHj9eOELd58+bJ0UcfrR0jYWFuaJYvX147AgB4IpZjcZ06dXxIomfYsGEyf/58I7X79etnpC4AAEAiaGpCRESs+0fG/LvOKxMNJkkBE2+K/zZt+oldvZb3WdJY9GpbOwIAAL46/vjjtSMkZOPGjVKhQgXtGHErW7asdoSkfPTRR9oRACApH3/8cVwXl4T9uF2chx56SDsCAACAL2hqokj1i7QTpAzntcmJ3XBc6i+H4yc3GhUZdql2DAAAfGNq2Tk/7Ny5UypUqBCKPTZfeuklsSxLdu/erR0lKU2aNNGOAAAJO+GEE+Tcc8+N6za7d++WqlWrGkqkp27durJnzx4jtadNm2akLgAAQKJoah5O4SLtBAi5hJehHTnH4yTpzfnPbO0IAAD4asiQIdoRErZz506pUaOGtGjRQjvKEdWtW1c6deqkHSNpU6awVD+A8DrqqKNkxYoVCd1269atUrNmTY8T6fnTn/4ka9euNVb/mmuuMVYbAAAgETQ1D8O59gztCIFm57raEcJhwFnx3+bYi8T+y1jvs6QxlqEFAKSTm2++WTtC0j766COxLEsefPBB7Sj7DBw4UCzLMnri2E+dO3fWjgAAcZs5c6ZYliU///xzUnU2bNgQ6v2c9xo4cKCMHWvu/MHEiWw9BAAAgoemJsT+Q2PtCCnJ+eI/IvJ1/Dds2kMidinP86QrNxoVeSs4J0UBADCpbt262hE8M3ToULEsSx555BG1DM8884zYth3qGbAHa926tXYEAIjbpZdeKh06dPCs3t79nDdt2uRZTT899dRTxt+bunbtarQ+AABAImhqQiS7ftw3sduEf9ktPzg5jRK6nTWj0OMk6c0ZP1Q7AgAAvpk/f752BE8NGDBALMsSy7LkrbfeMj7eu+++K23atBHLsuTOO++UaDRqfEw/vfHGG9oRACAu1apVk9mzvd9aZOfOnVK9enV5//33Pa9t0ksvvSR333230THGjBljtD4AAECiaGpCxE1gVuCtU73Pkarub5LQzewhr3gcJL0lus8pAABh07x5c+0IxrRu3Xpfg/Oee+6RlStXyurVqxOuV1BQIKtXr5bRo0fvq9uqVSt58803PUwdHGeeeaZ2BACIy3HHHSc//fST0TFatmwZmlmJPXr08GVv5549exofAwAAIBGW67pskLi/v3cRZ9YU7RS+sUuXEZlWkNiNry0rTuFubwOlKPuiTiJ3JdAI/vMp4nyzzPtAacqeslCkQgJ7nQIAEDK33367jB8/XjsGAoavfgDCyLL8u0A1qPttFhQUSEZGhi9jjR8/Xm677TZfxgIAAIgXTc2DpNtsLjt3j4jYCd8+3e6vZNi5ib3UuI+9lejjAABA2Ph5EhjBd95554VuiUUA2Mvv97QgnSrr0aOHPPvss76NF6S/HQAA4GAsP3sQu3f6XNFun36hJNPQRHwSbU7ShPMWTWIAQLpo2rSpdgQECA1NAGFmeg/Jg1mWJcccc4yvYx5s4MCBYlkWDU0AAID90NQ82Hm3id32Ru0UxtmZlUQGvpd8nSHTPEiTRh78v4RuZl/X3+Mg6e4X7QAAABi3aNEi7QgIiO7du2tHAICkjB49Wtq1a+frmHl5efv2W165cqVv45YuXVosy5IhQ4b4NqaISLdu3XwdDwAAIBEsP3skPeqKs2Gtdgpj7Nx8ESnrSS1mvsXHvnu4yAX94r5d9Gpb3GjUQKL0xAxYAEA6aNKkiSxevFg7BpTxlQ9AqjjhhBNkxYoVqhlatmwpc+fO9azeSy+9JJ06dfKsXqJ4rwAAAGFAU7MY7rVlJVq4WzuG5+yW7UXumeldwdtri7NxvXf10gD7a+qzj20kMnK5dgwAAIxjb830xtc9AKmmXLlykp+frx3jsBYuXChnnXXWIf990aJFcvHFF8vWrVsVUpWM9woAABAWLD9bDGtagVilymjH8JRdNsPbhqaIyLh13tZLA26H0gndzr6C5WC84qz+SkT44gYASH3NmjXTjgAl1atX144AAJ7btWuXRCLBPJ3VrFmzfUvW7v9zxhlnBLahee+992pHAAAAiBkzNWPgXG2LpMiyn6aW3GQGYWISejz6NhFnJcvIeYVlaAEA6YDZmumJr3oAUhnvbcmrUqWKbNmyRTsGAABAzIJ5aVvA2DMd7QiesG/tb642jSH/PPa52LmuWAG9MjV0RrfVTgAAgHE0t9IPjzmAVMdxLnk0NAEAQNjQFYlRSjTt2gwzWj5ilzJaPxUlM8M1MtMR+5xWHqZJT868WSLCFzkAAAAACBsam4njvgMAAGFEUzMOYW5s+pHdqn288TFSUu8TEr9tn3dC/bwMjJt57gIAUh8nL9NDZmYmjzWAtMIxLz68TwAAgDCjqRmnMDaQ7CHP+zPQ6OX+jJNinO9WJF3DznXFPrWZB2nSk/PLzyLv/FU7BgAAxnESM/Vt375dOwIA+M51XcnMzNSOEXgNGzbkfQIAAIQaTc0EhK6xecotvg1l12/s21g4yOAFYj/1gXaK0HKefUhEUmP/XAAAitO4MZ/XUhVNawDpbPv27XL66adrxwisVq1ayddff60dAwAAICk0NRMUlsam7zmfXOrveDhQnRZFszYzymsnCac+p2onAADAuKVLl0qtWrW0Y8BjI0eO1I4AAOo+//xzWbJkiXaMwOnbt6+888472jEAAACSZrlczpsUJ8fSjnBE9qgZIsdc7f/Afz5FnG+W+T9uiBlpPq+aK859F3pfN8XZtz0k0nqwdgwAAIyrXbu2rF+/XjsGPNCpUyeZOnWqdgwACJSKFSvKjh07tGOo47QfAABIJczUTFKgZ2xqNDRFRO56TGdcHKjBBcF+fgaU89wQ7QgAAPhi3bp1UqpUKe0YSNK1115LQxMADmP79u1y1113acdQc8MNN9DQBAAAKYeZmh4J2oxN9WZW54ri7OSKyFgZf7xm/Vmcvz9udowUYjdqKjJskXYMAAB8YVnB+hyL2DFDEwBic/TRR6ZjrgIAAAwySURBVMvGjRu1Y/gmLy9P6tatqx0DAADAc8zU9Iid64pduox2DBERsQc8rR1B5Kq7tRNgf1eNEHvEbO0UoWDXrk9DEwCQVrjGMZxoaAJA7H788UeZPHmydgzjhg8fLq7r0tAEAAApi6aml6YViF3veN0MkYjIH/+km0FE5LpHtBPgYMdfUtR8r1VfO0lg2X9oLPL0au0YAAD4jsZmuHTo0IGGJgDEqUuXLuK6rgwaNEg7iuf69+8vrutKv379tKMAAAAYRVPTa6NXin1pB5WhrUhE7JmOytiHY1/cUTsCDudvq8XuM16sCC///UWOaSzy2FLtGAAAqKGxGQ6dOnWS6dOna8cAgNAaOHCguK4rffr00Y6StD59+ojrujJs2DDtKAAAAL5gT01T/naTOHP8XdrE7nyvSIcnfB2zJEHbazSotPZAjXY9Wtyt6bOvyJHYp50nMuh97RgAAARCuXLlJD8/XzsGDuP555+XW265RTsGAKSUHj16yJw5c+Sbb77RjhKT6tWrS7t27WTcuHHaUQAAAHxHU9OkiX8S57WxvgxlV68jMm6NL2PF5dajxdlM06wkWk1NERGZeJM4r6X+3iJHYvcfI3JWT+0YAAAESs2aNWXDhg3aMfCbSCQijhOcFVkAIFW1adNGFi9eLOvXr9eOcoDs7Gw59dRT5b333tOOAgAAoIqmpnErxe1wkkSdPcZGsCIRiQRo2dkDfP++OL1aaqcIPNWmpoiIbBa5tpY4hbuVc/hL/34HACC4qlatKlu3btWOkfYqVaokv/zyi3YMAEg7gwcPlmeffVZ+/vln2b3b3+/KpUqVkuzsbGnVqpW88MILvo4NAAAQZDQ1fWJyGVb7ijtFbvmbsfrJYgnakgWlueZ2KG20AR8kQbnPAQAIsueee066d++uHSNtZWVlyebNm7VjAAB+c9xxx8mqVauM1K5Tp46sWRPAFbgAAAAChKamn26sKs52b692t08/W2Tgx57W9NzGReLcfoZ2ikALWoMt1RvRQbu/AQAIOstK7c8GQcTXNAAIp6lTpx4ys7NZs2Zy4oknKiUCAABIHTQ1/Tb/CXFG9PGsXFiaM6neJEtWEB/HVHzM7Gq1RMav044BAEAo5eTkyKuvvqodI+Wdfvrp8vnnn2vHAAAAAAAgcGhqati6VJyupyZdxu47UaR5Vw8C+eDpHHHe4yTYkQSxqSkiIh8+Ks7I/topPBHY+xgAgJCpWLGi7NixQztGysnIyJBdu3ZpxwAAAAAAILBoaipKZiac3bqjyG0veZjGvFSc+eeVoDfcwv7YBf3+BQAgjFiS1jtbt26VypUra8cAAAAAACDQItoB0pmd64p9UbvEbhyyhibCzc51xW7QSDtG3OysGjQ0AQAwxHVdycvL044Rah999JG4rktDEwAAAACAGDBTMwj2rBHnmnox/7qd+52IHGMujzGuODn00Q8nTI23sMzatIe9KNLoeu0YAACkhYKCAsnIyNCOERqfffaZNGnSRDsGAAAAAAChQocpCErVjbmpZV93h4SzoSkiEo5mGIpn57oSqRPcWZt2xSpFrycamgAA+KZs2bLiuq64riv169fXjhNYeXl54rouDU0AAAAAABJAUzNA7FxX7CHji/+ljs/4E8YQe8CL2hHgAeup5WJP/EA7xiHsCzqJTN6iHQMAgLS2evVqcV1X3nzzTe0ogdCuXTvZvXu3uK4rdevW1Y4DAAAAAEBosfxsEG1dKtL9DHEKdx/wn8O0RGlxwrJ8qZ9C/djedaw4677TTiF27h4RsbVjAACAgyxfvlwmTpwojz/+uHYU32RnZ8usWbOkefPm2lEAAAAAAEgZzNQMoiqniEwrEPuc1vv+k92mk2Igb9nHBnfpUiTg6dViX9ldbXj7og6/NYVpaAIAEEQnnniijBgxQlzXlS+//FLGjBmTkvtvnnHGGfLiiy+K67qyadMmGpoAAAAAAHiMmZpBt3GRSO+WIlO3ayfxFLM1DxTqmZr7u76COPk7fRvOHv2mSL3LfRsPAAB4a/To0bJw4UKZMWOG7NmzRztOXLKzs6Vbt27SsmVLufxyPo8AAAAAAGAaTU2ooKl5oJRpaoqIDGghzhcfGR3CPutCkf7vGR0DAAD474knnpBly5bJl19+Kf/5z3+04+xTpUoVadmypVSpUkWGDh0qNWvW1I4EAAAAAEDaoakJNTQ2i9hVs0UmbtKO4a0VM8Xp18FIaXvkqyLHtjVSGwAABNPo0aPl1VdfFRGRrVu3yvr16+Xnn3/2bHZnmTJlJDs7W2rUqCGVKlUSEZEbb7xRunbt6kl9AAAAAACQPJqaUENTs4g9eLzIqbdpxzDj5qPE+eVnT0pZ2XUk8twaT2oBAAAAAAAAAIBwiWgHQPqys2tpR4BpkzaLXTkr6TJ2rktDEwAAAAAAAACANEZTE3qeW6edAH6YtDnhPUPtVjem1n6jAAAAAAAAAAAgISw/C1UsQSvp1bS78xhxfsgr8dfs05qJDFrgQyAAAAAAAAAAABAGNDWhLt0bm2nV1PxNcY95Ot4fAAAAAAAAAACgeCw/C8B3dq4rdr3jD/1vNDQBAAAAAAAAAMBh0NSEOvvBp7UjQMPolWL3elrs3I00MwEAAAAAAAAAQLFYfhaBEL3aFjca1Y6hgoYeAAAAAAAAAABA8ZipiUCIVM7WjgAAAAAAAAAAAICAoqmJYJj4o3YCAAAAAAAAAAAABBRNTQSGXaO+dgQAAAAAAAAAAAAEEE1NBMczq7UTAAAAAAAAAAAAIIBoaiJQ7KrsrQkAAAAAAAAAAIAD0dREsFxyo3YCAAAAAAAAAAAABIzluq6rHQLYX/RqW9xoVDuGb+xcXoIAAAAAAAAAAADFYaYmAifSrpd2BAAAAAAAAAAAAAQIMzURSE6OpR3BN8zUBAAAAAAAAAAAKB4zNRFIdqPTtSMAAAAAAAAAAAAgIGhqIph6jtFOAAAAAAAAAAAAgICgqYlgqtVCOwEAAAAAAAAAAAACgqYmAsse9LJ2BAAAAAAAAAAAAAQATU0E12nXaScAAAAAAAAAAABAANDURKDZ3R/TjgAAAAAAAAAAAABlluu6rnYIoDhOjqUdwSg7l5cgAAAAAAAAAABAcZipicCzc7eJ/co3Yp/dSjsKAAAAAAAAAAAAFDBTE+G1+X8izh6R10ZK9M2XxY1GtRMlhJmaAAAAAAAAAAAAxaOpidS0JLfof7etF3l/msjXS8TZvlU300HsFpeJXNpJ5OQu2lEAAAAAAAAAAAACjaYm0pvzrcjsVw////26UaTg59//fddOkQ15IqXLiNRp8Pt/r1ZPxCl/+Bp16ouccrV3eQEAAAAAAAAAANIQTU0AAAAAAAAAAAAAgRbRDgAAAAAAAAAAAAAAxaGpCQAAAAAAAAAAACDQaGoCAAAAAAAAAAAACDSamgAAAAAAAAAAAAACjaYmAAAAAAAAAAAAgECjqQkAAAAAAAAAAAAg0GhqAgAAAAAAAAAAAAg0mpoAAAAAAAAAAAAAAo2mJgAAAAAAAAAAAIBAo6kJAAAAAAAAAAAAINBoagIAAAAAAAAAAAAINJqaAAAAAAAAAAAAAAKNpiYAAAAAAAAAAACAQKOpCQAAAAAAAAAAACDQaGoCAAAAAAAAAAAACDSamgAAAAAAAAAAAAACjaYmAAAAAAAAAAAAgECjqQkAAAAAAAAAAAAg0GhqAgAAAAAAAAAAAAg0mpoAAAAAAAAAAAAAAo2mJgAAAAAAAAAAAIBAo6kJAAAAAAAAAAAAINBoagIAAAAAAAAAAAAINJqaAAAAAAAAAAAAAAKNpiYAAAAAAAAAAACAQKOpCQAAAAAAAAAAACDQaGoCAAAAAAAAAAAACDSamgAAAAAAAAAAAAACjaYmAAAAAAAAAAAAgECjqQkAAAAAAAAAAAAg0GhqAgAAAAAAAAAAAAg0mpoAAAAAAAAAAAAAAo2mJgAAAAAAAAAAAIBAo6kJAAAAAAAAAAAAINBoagIAAAAAAAAAAAAINJqaAAAAAAAAAAAAAAKNpiYAAAAAAAAAAACAQKOpCQAAAAAAAAAAACDQaGoCAAAAAAAAAAAACDSamgAAAAAAAAAAAAACjaYmAAAAAAAAAAAAgECjqQkAAAAAAAAAAAAg0GhqAgAAAAAAAAAAAAi0/weYPDCfWiHktgAAAABJRU5ErkJggg==">
          <a:extLst>
            <a:ext uri="{FF2B5EF4-FFF2-40B4-BE49-F238E27FC236}">
              <a16:creationId xmlns:a16="http://schemas.microsoft.com/office/drawing/2014/main" id="{C97F6449-240B-4E37-A725-54ADE7AC0FFE}"/>
            </a:ext>
          </a:extLst>
        </xdr:cNvPr>
        <xdr:cNvSpPr>
          <a:spLocks noChangeAspect="1" noChangeArrowheads="1"/>
        </xdr:cNvSpPr>
      </xdr:nvSpPr>
      <xdr:spPr bwMode="auto">
        <a:xfrm>
          <a:off x="7610475" y="152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209551</xdr:colOff>
      <xdr:row>0</xdr:row>
      <xdr:rowOff>133350</xdr:rowOff>
    </xdr:from>
    <xdr:to>
      <xdr:col>10</xdr:col>
      <xdr:colOff>679301</xdr:colOff>
      <xdr:row>7</xdr:row>
      <xdr:rowOff>88265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E6A2B375-0FDB-436A-8632-1E131493E3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9551" y="133350"/>
          <a:ext cx="5327500" cy="128206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942DDB-4327-424F-95D8-6B6E28972B4C}">
  <sheetPr codeName="Planilha2">
    <tabColor theme="5" tint="0.79998168889431442"/>
  </sheetPr>
  <dimension ref="A1:W218"/>
  <sheetViews>
    <sheetView tabSelected="1" view="pageBreakPreview" zoomScaleNormal="115" zoomScaleSheetLayoutView="100" workbookViewId="0">
      <selection activeCell="H30" sqref="H30"/>
    </sheetView>
  </sheetViews>
  <sheetFormatPr defaultRowHeight="14.5" x14ac:dyDescent="0.35"/>
  <cols>
    <col min="1" max="1" width="5.1796875" customWidth="1"/>
    <col min="2" max="2" width="13.81640625" customWidth="1"/>
    <col min="3" max="3" width="2.453125" customWidth="1"/>
    <col min="4" max="4" width="7.1796875" customWidth="1"/>
    <col min="5" max="5" width="8.1796875" customWidth="1"/>
    <col min="6" max="6" width="8" customWidth="1"/>
    <col min="7" max="7" width="9.54296875" customWidth="1"/>
    <col min="8" max="8" width="7.81640625" customWidth="1"/>
    <col min="9" max="9" width="1.54296875" customWidth="1"/>
    <col min="11" max="11" width="12.54296875" customWidth="1"/>
    <col min="12" max="12" width="2.453125" customWidth="1"/>
  </cols>
  <sheetData>
    <row r="1" spans="1:23" s="1" customFormat="1" x14ac:dyDescent="0.35"/>
    <row r="2" spans="1:23" s="1" customFormat="1" x14ac:dyDescent="0.35"/>
    <row r="3" spans="1:23" ht="15" customHeight="1" x14ac:dyDescent="0.35">
      <c r="A3" s="1"/>
      <c r="B3" s="2"/>
      <c r="C3" s="2"/>
      <c r="D3" s="2"/>
      <c r="E3" s="2"/>
      <c r="F3" s="2"/>
      <c r="G3" s="2"/>
      <c r="H3" s="2"/>
      <c r="I3" s="2"/>
      <c r="J3" s="2"/>
      <c r="K3" s="2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 spans="1:23" ht="15" customHeight="1" x14ac:dyDescent="0.35">
      <c r="A4" s="1"/>
      <c r="B4" s="2"/>
      <c r="C4" s="2"/>
      <c r="D4" s="2"/>
      <c r="E4" s="2"/>
      <c r="F4" s="2"/>
      <c r="G4" s="2"/>
      <c r="H4" s="2"/>
      <c r="I4" s="2"/>
      <c r="J4" s="2"/>
      <c r="K4" s="2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</row>
    <row r="5" spans="1:23" ht="15" customHeight="1" x14ac:dyDescent="0.35">
      <c r="A5" s="1"/>
      <c r="B5" s="2"/>
      <c r="C5" s="2"/>
      <c r="D5" s="2"/>
      <c r="E5" s="2"/>
      <c r="F5" s="2"/>
      <c r="G5" s="2"/>
      <c r="H5" s="2"/>
      <c r="I5" s="2"/>
      <c r="J5" s="2"/>
      <c r="K5" s="2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</row>
    <row r="6" spans="1:23" ht="15" customHeight="1" x14ac:dyDescent="0.35">
      <c r="A6" s="1"/>
      <c r="B6" s="2"/>
      <c r="C6" s="2"/>
      <c r="D6" s="2"/>
      <c r="E6" s="2"/>
      <c r="F6" s="2"/>
      <c r="G6" s="2"/>
      <c r="H6" s="2"/>
      <c r="I6" s="2"/>
      <c r="J6" s="2"/>
      <c r="K6" s="2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</row>
    <row r="7" spans="1:23" ht="15" customHeight="1" x14ac:dyDescent="0.35">
      <c r="A7" s="1"/>
      <c r="B7" s="2"/>
      <c r="C7" s="2"/>
      <c r="D7" s="2"/>
      <c r="E7" s="2"/>
      <c r="F7" s="2"/>
      <c r="G7" s="2"/>
      <c r="H7" s="2"/>
      <c r="I7" s="2"/>
      <c r="J7" s="2"/>
      <c r="K7" s="2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</row>
    <row r="8" spans="1:23" ht="15" customHeight="1" x14ac:dyDescent="0.35">
      <c r="A8" s="1"/>
      <c r="B8" s="43" t="s">
        <v>0</v>
      </c>
      <c r="C8" s="43"/>
      <c r="D8" s="43"/>
      <c r="E8" s="43"/>
      <c r="F8" s="43"/>
      <c r="G8" s="43"/>
      <c r="H8" s="43"/>
      <c r="I8" s="43"/>
      <c r="J8" s="43"/>
      <c r="K8" s="43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</row>
    <row r="9" spans="1:23" ht="22.5" customHeight="1" x14ac:dyDescent="0.35">
      <c r="A9" s="1"/>
      <c r="B9" s="43"/>
      <c r="C9" s="43"/>
      <c r="D9" s="43"/>
      <c r="E9" s="43"/>
      <c r="F9" s="43"/>
      <c r="G9" s="43"/>
      <c r="H9" s="43"/>
      <c r="I9" s="43"/>
      <c r="J9" s="43"/>
      <c r="K9" s="43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</row>
    <row r="10" spans="1:23" ht="19.5" customHeight="1" x14ac:dyDescent="0.35">
      <c r="A10" s="1"/>
      <c r="B10" s="23" t="s">
        <v>19</v>
      </c>
      <c r="C10" s="24"/>
      <c r="D10" s="24"/>
      <c r="E10" s="24"/>
      <c r="F10" s="24"/>
      <c r="G10" s="24"/>
      <c r="H10" s="24"/>
      <c r="I10" s="24"/>
      <c r="J10" s="24"/>
      <c r="K10" s="25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</row>
    <row r="11" spans="1:23" ht="16.5" customHeight="1" x14ac:dyDescent="0.35">
      <c r="A11" s="1"/>
      <c r="B11" s="26"/>
      <c r="C11" s="27"/>
      <c r="D11" s="27"/>
      <c r="E11" s="27"/>
      <c r="F11" s="27"/>
      <c r="G11" s="27"/>
      <c r="H11" s="27"/>
      <c r="I11" s="27"/>
      <c r="J11" s="27"/>
      <c r="K11" s="28"/>
      <c r="L11" s="1"/>
      <c r="M11" s="1"/>
      <c r="N11" s="1"/>
      <c r="O11" s="1"/>
      <c r="P11" s="1"/>
      <c r="Q11" s="1"/>
      <c r="R11" s="1"/>
      <c r="S11" s="1"/>
      <c r="T11" s="1"/>
      <c r="U11" s="9"/>
      <c r="V11" s="1"/>
      <c r="W11" s="1"/>
    </row>
    <row r="12" spans="1:23" ht="18" customHeight="1" x14ac:dyDescent="0.35">
      <c r="A12" s="1"/>
      <c r="B12" s="39"/>
      <c r="C12" s="40"/>
      <c r="D12" s="40"/>
      <c r="E12" s="40"/>
      <c r="F12" s="40"/>
      <c r="G12" s="40"/>
      <c r="H12" s="40"/>
      <c r="I12" s="40"/>
      <c r="J12" s="40"/>
      <c r="K12" s="4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</row>
    <row r="13" spans="1:23" x14ac:dyDescent="0.35">
      <c r="A13" s="16" t="s">
        <v>3</v>
      </c>
      <c r="B13" s="15">
        <v>3007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</row>
    <row r="14" spans="1:23" x14ac:dyDescent="0.35">
      <c r="A14" s="1"/>
      <c r="B14" s="36" t="s">
        <v>1</v>
      </c>
      <c r="C14" s="36"/>
      <c r="D14" s="36"/>
      <c r="F14" s="35" t="s">
        <v>21</v>
      </c>
      <c r="G14" s="35"/>
      <c r="H14" s="35"/>
      <c r="I14" s="35"/>
      <c r="J14" s="35"/>
      <c r="K14" s="35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</row>
    <row r="15" spans="1:23" x14ac:dyDescent="0.3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</row>
    <row r="16" spans="1:23" ht="15" customHeight="1" x14ac:dyDescent="0.35">
      <c r="A16" s="1"/>
      <c r="B16" s="36" t="s">
        <v>2</v>
      </c>
      <c r="C16" s="36"/>
      <c r="D16" s="36"/>
      <c r="E16" s="3" t="s">
        <v>3</v>
      </c>
      <c r="F16" s="44" t="str">
        <f>IFERROR(VLOOKUP($B$13,#REF!, 2, FALSE), "")</f>
        <v/>
      </c>
      <c r="G16" s="45"/>
      <c r="H16" s="45"/>
      <c r="I16" s="45"/>
      <c r="J16" s="45"/>
      <c r="K16" s="46"/>
      <c r="L16" s="1"/>
      <c r="M16" s="1"/>
      <c r="N16" s="1"/>
      <c r="O16" s="1"/>
      <c r="Q16" s="1"/>
      <c r="R16" s="1"/>
      <c r="S16" s="1"/>
      <c r="T16" s="1"/>
      <c r="U16" s="1"/>
      <c r="V16" s="1"/>
      <c r="W16" s="1"/>
    </row>
    <row r="17" spans="1:23" x14ac:dyDescent="0.3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</row>
    <row r="18" spans="1:23" x14ac:dyDescent="0.35">
      <c r="A18" s="1"/>
      <c r="B18" s="36" t="s">
        <v>4</v>
      </c>
      <c r="C18" s="36"/>
      <c r="D18" s="36"/>
      <c r="E18" s="3" t="s">
        <v>3</v>
      </c>
      <c r="F18" s="47" t="str">
        <f>IFERROR(VLOOKUP($B$13,#REF!, 3, FALSE), "")</f>
        <v/>
      </c>
      <c r="G18" s="47"/>
      <c r="H18" s="47"/>
      <c r="I18" s="47"/>
      <c r="J18" s="47"/>
      <c r="K18" s="47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</row>
    <row r="19" spans="1:23" x14ac:dyDescent="0.3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</row>
    <row r="20" spans="1:23" x14ac:dyDescent="0.35">
      <c r="A20" s="1"/>
      <c r="B20" s="10" t="s">
        <v>5</v>
      </c>
      <c r="C20" s="3" t="s">
        <v>3</v>
      </c>
      <c r="D20" s="48" t="str">
        <f>IFERROR(VLOOKUP($B$13,#REF!, 4, FALSE), "")</f>
        <v/>
      </c>
      <c r="E20" s="49"/>
      <c r="F20" s="3" t="s">
        <v>3</v>
      </c>
      <c r="G20" s="36" t="s">
        <v>6</v>
      </c>
      <c r="H20" s="36"/>
      <c r="I20" s="4"/>
      <c r="J20" s="48" t="str">
        <f>IFERROR(VLOOKUP($B$13,#REF!, 5, FALSE), "")</f>
        <v/>
      </c>
      <c r="K20" s="49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</row>
    <row r="21" spans="1:23" x14ac:dyDescent="0.3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</row>
    <row r="22" spans="1:23" x14ac:dyDescent="0.35">
      <c r="A22" s="1"/>
      <c r="B22" s="10" t="s">
        <v>7</v>
      </c>
      <c r="C22" s="8"/>
      <c r="D22" s="35" t="str">
        <f>IFERROR(VLOOKUP($B$13,#REF!, 6, FALSE), "")</f>
        <v/>
      </c>
      <c r="E22" s="35"/>
      <c r="F22" s="8"/>
      <c r="G22" s="36" t="s">
        <v>8</v>
      </c>
      <c r="H22" s="36"/>
      <c r="I22" s="1"/>
      <c r="J22" s="42" t="str">
        <f>IFERROR(VLOOKUP($B$13,#REF!, 7, FALSE), "")</f>
        <v/>
      </c>
      <c r="K22" s="42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</row>
    <row r="23" spans="1:23" x14ac:dyDescent="0.35">
      <c r="A23" s="1"/>
      <c r="C23" s="1"/>
      <c r="E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</row>
    <row r="24" spans="1:23" x14ac:dyDescent="0.35">
      <c r="A24" s="1"/>
      <c r="B24" s="36" t="s">
        <v>9</v>
      </c>
      <c r="C24" s="36"/>
      <c r="D24" s="36"/>
      <c r="E24" s="1"/>
      <c r="F24" s="35" t="str">
        <f>IFERROR(VLOOKUP($B$13,#REF!, 9, FALSE), "")</f>
        <v/>
      </c>
      <c r="G24" s="35"/>
      <c r="H24" s="1"/>
      <c r="I24" s="1"/>
      <c r="J24" s="36" t="s">
        <v>23</v>
      </c>
      <c r="K24" s="36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</row>
    <row r="25" spans="1:23" x14ac:dyDescent="0.35">
      <c r="A25" s="1"/>
      <c r="B25" s="11"/>
      <c r="C25" s="11"/>
      <c r="D25" s="11"/>
      <c r="E25" s="1"/>
      <c r="F25" s="11"/>
      <c r="G25" s="11"/>
      <c r="H25" s="1"/>
      <c r="I25" s="1"/>
      <c r="J25" s="38" t="str">
        <f>IFERROR(VLOOKUP($B$13,#REF!, 10, FALSE), "")</f>
        <v/>
      </c>
      <c r="K25" s="38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</row>
    <row r="26" spans="1:23" x14ac:dyDescent="0.35">
      <c r="A26" s="1"/>
      <c r="B26" s="36" t="s">
        <v>20</v>
      </c>
      <c r="C26" s="36"/>
      <c r="D26" s="36"/>
      <c r="E26" s="1"/>
      <c r="F26" s="35" t="str">
        <f>IFERROR(VLOOKUP($B$13,#REF!, 8, FALSE), "")</f>
        <v/>
      </c>
      <c r="G26" s="35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</row>
    <row r="27" spans="1:23" x14ac:dyDescent="0.35">
      <c r="A27" s="1"/>
      <c r="C27" s="1"/>
      <c r="E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</row>
    <row r="28" spans="1:23" x14ac:dyDescent="0.35">
      <c r="A28" s="1"/>
      <c r="B28" s="36" t="s">
        <v>10</v>
      </c>
      <c r="C28" s="36"/>
      <c r="D28" s="36"/>
      <c r="E28" s="1"/>
      <c r="F28" s="35" t="s">
        <v>22</v>
      </c>
      <c r="G28" s="35"/>
      <c r="H28" s="35"/>
      <c r="I28" s="35"/>
      <c r="J28" s="35"/>
      <c r="K28" s="35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</row>
    <row r="29" spans="1:23" x14ac:dyDescent="0.3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</row>
    <row r="30" spans="1:23" x14ac:dyDescent="0.35">
      <c r="A30" s="1"/>
      <c r="B30" s="36" t="s">
        <v>11</v>
      </c>
      <c r="C30" s="36"/>
      <c r="D30" s="36"/>
      <c r="E30" s="1"/>
      <c r="F30" s="37">
        <v>46085</v>
      </c>
      <c r="G30" s="35"/>
      <c r="H30" s="5" t="s">
        <v>12</v>
      </c>
      <c r="J30" s="37">
        <f>F30+1</f>
        <v>46086</v>
      </c>
      <c r="K30" s="35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</row>
    <row r="31" spans="1:23" x14ac:dyDescent="0.35">
      <c r="A31" s="1"/>
      <c r="B31" s="5"/>
      <c r="C31" s="5"/>
      <c r="D31" s="5"/>
      <c r="E31" s="1"/>
      <c r="F31" s="6"/>
      <c r="G31" s="5"/>
      <c r="H31" s="4"/>
      <c r="I31" s="1"/>
      <c r="J31" s="6"/>
      <c r="K31" s="5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</row>
    <row r="32" spans="1:23" ht="17.25" customHeight="1" x14ac:dyDescent="0.35">
      <c r="A32" s="1"/>
      <c r="B32" s="23" t="s">
        <v>28</v>
      </c>
      <c r="C32" s="24"/>
      <c r="D32" s="24"/>
      <c r="E32" s="24"/>
      <c r="F32" s="24"/>
      <c r="G32" s="24"/>
      <c r="H32" s="24"/>
      <c r="I32" s="24"/>
      <c r="J32" s="24"/>
      <c r="K32" s="25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</row>
    <row r="33" spans="1:23" ht="20.25" customHeight="1" x14ac:dyDescent="0.35">
      <c r="A33" s="1"/>
      <c r="B33" s="26"/>
      <c r="C33" s="27"/>
      <c r="D33" s="27"/>
      <c r="E33" s="27"/>
      <c r="F33" s="27"/>
      <c r="G33" s="27"/>
      <c r="H33" s="27"/>
      <c r="I33" s="27"/>
      <c r="J33" s="27"/>
      <c r="K33" s="28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</row>
    <row r="34" spans="1:23" hidden="1" x14ac:dyDescent="0.35">
      <c r="A34" s="1"/>
      <c r="B34" s="12"/>
      <c r="C34" s="13"/>
      <c r="D34" s="13"/>
      <c r="E34" s="13"/>
      <c r="F34" s="13"/>
      <c r="G34" s="13"/>
      <c r="H34" s="13"/>
      <c r="I34" s="13"/>
      <c r="J34" s="13"/>
      <c r="K34" s="14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</row>
    <row r="35" spans="1:23" ht="18.75" customHeight="1" x14ac:dyDescent="0.4">
      <c r="A35" s="1"/>
      <c r="B35" s="32" t="s">
        <v>24</v>
      </c>
      <c r="C35" s="33"/>
      <c r="D35" s="33"/>
      <c r="E35" s="33"/>
      <c r="F35" s="33"/>
      <c r="G35" s="33"/>
      <c r="H35" s="33"/>
      <c r="I35" s="33"/>
      <c r="J35" s="33"/>
      <c r="K35" s="34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</row>
    <row r="36" spans="1:23" ht="18.75" customHeight="1" thickBot="1" x14ac:dyDescent="0.4">
      <c r="A36" s="1"/>
      <c r="B36" s="29" t="s">
        <v>29</v>
      </c>
      <c r="C36" s="30"/>
      <c r="D36" s="30"/>
      <c r="E36" s="30"/>
      <c r="F36" s="30"/>
      <c r="G36" s="30"/>
      <c r="H36" s="30"/>
      <c r="I36" s="30"/>
      <c r="J36" s="30"/>
      <c r="K36" s="3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</row>
    <row r="37" spans="1:23" ht="18.75" customHeight="1" x14ac:dyDescent="0.4">
      <c r="A37" s="1"/>
      <c r="B37" s="17"/>
      <c r="C37" s="18"/>
      <c r="D37" s="18"/>
      <c r="E37" s="18"/>
      <c r="F37" s="18"/>
      <c r="G37" s="18"/>
      <c r="H37" s="18"/>
      <c r="I37" s="18"/>
      <c r="J37" s="18"/>
      <c r="K37" s="19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</row>
    <row r="38" spans="1:23" ht="18.75" customHeight="1" x14ac:dyDescent="0.4">
      <c r="A38" s="1"/>
      <c r="B38" s="17" t="s">
        <v>25</v>
      </c>
      <c r="C38" s="18"/>
      <c r="D38" s="18"/>
      <c r="E38" s="18"/>
      <c r="F38" s="18"/>
      <c r="G38" s="18"/>
      <c r="H38" s="18"/>
      <c r="I38" s="18"/>
      <c r="J38" s="18"/>
      <c r="K38" s="19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</row>
    <row r="39" spans="1:23" ht="18.75" customHeight="1" x14ac:dyDescent="0.4">
      <c r="A39" s="1"/>
      <c r="B39" s="17" t="s">
        <v>26</v>
      </c>
      <c r="C39" s="18"/>
      <c r="D39" s="18"/>
      <c r="E39" s="18"/>
      <c r="F39" s="18"/>
      <c r="G39" s="18"/>
      <c r="H39" s="18"/>
      <c r="I39" s="18"/>
      <c r="J39" s="18"/>
      <c r="K39" s="19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</row>
    <row r="40" spans="1:23" ht="18.75" customHeight="1" x14ac:dyDescent="0.4">
      <c r="A40" s="1"/>
      <c r="B40" s="17" t="s">
        <v>27</v>
      </c>
      <c r="C40" s="18"/>
      <c r="D40" s="18"/>
      <c r="E40" s="18"/>
      <c r="F40" s="18"/>
      <c r="G40" s="18"/>
      <c r="H40" s="18"/>
      <c r="I40" s="18"/>
      <c r="J40" s="18"/>
      <c r="K40" s="19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</row>
    <row r="41" spans="1:23" ht="18.75" customHeight="1" x14ac:dyDescent="0.4">
      <c r="A41" s="1"/>
      <c r="B41" s="17" t="s">
        <v>17</v>
      </c>
      <c r="C41" s="18"/>
      <c r="D41" s="18"/>
      <c r="E41" s="18"/>
      <c r="F41" s="18"/>
      <c r="G41" s="18"/>
      <c r="H41" s="18"/>
      <c r="I41" s="18"/>
      <c r="J41" s="18"/>
      <c r="K41" s="19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</row>
    <row r="42" spans="1:23" ht="18.75" customHeight="1" x14ac:dyDescent="0.4">
      <c r="A42" s="1"/>
      <c r="B42" s="17" t="s">
        <v>13</v>
      </c>
      <c r="C42" s="18"/>
      <c r="D42" s="18"/>
      <c r="E42" s="18"/>
      <c r="F42" s="18"/>
      <c r="G42" s="18"/>
      <c r="H42" s="18"/>
      <c r="I42" s="18"/>
      <c r="J42" s="18"/>
      <c r="K42" s="19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</row>
    <row r="43" spans="1:23" ht="18.75" customHeight="1" x14ac:dyDescent="0.4">
      <c r="A43" s="1"/>
      <c r="B43" s="17" t="s">
        <v>14</v>
      </c>
      <c r="C43" s="18"/>
      <c r="D43" s="18"/>
      <c r="E43" s="18"/>
      <c r="F43" s="18"/>
      <c r="G43" s="18"/>
      <c r="H43" s="18"/>
      <c r="I43" s="18"/>
      <c r="J43" s="18"/>
      <c r="K43" s="19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</row>
    <row r="44" spans="1:23" ht="18.75" customHeight="1" x14ac:dyDescent="0.4">
      <c r="A44" s="1"/>
      <c r="B44" s="17" t="s">
        <v>18</v>
      </c>
      <c r="C44" s="18"/>
      <c r="D44" s="18"/>
      <c r="E44" s="18"/>
      <c r="F44" s="18"/>
      <c r="G44" s="18"/>
      <c r="H44" s="18"/>
      <c r="I44" s="18"/>
      <c r="J44" s="18"/>
      <c r="K44" s="19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</row>
    <row r="45" spans="1:23" ht="18" x14ac:dyDescent="0.4">
      <c r="A45" s="1"/>
      <c r="B45" s="17" t="s">
        <v>15</v>
      </c>
      <c r="C45" s="18"/>
      <c r="D45" s="18"/>
      <c r="E45" s="18"/>
      <c r="F45" s="18"/>
      <c r="G45" s="18"/>
      <c r="H45" s="18"/>
      <c r="I45" s="18"/>
      <c r="J45" s="18"/>
      <c r="K45" s="19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</row>
    <row r="46" spans="1:23" ht="18.75" customHeight="1" x14ac:dyDescent="0.4">
      <c r="A46" s="1"/>
      <c r="B46" s="20" t="s">
        <v>16</v>
      </c>
      <c r="C46" s="21"/>
      <c r="D46" s="21"/>
      <c r="E46" s="21"/>
      <c r="F46" s="21"/>
      <c r="G46" s="21"/>
      <c r="H46" s="21"/>
      <c r="I46" s="21"/>
      <c r="J46" s="21"/>
      <c r="K46" s="22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</row>
    <row r="47" spans="1:23" ht="18" x14ac:dyDescent="0.4">
      <c r="A47" s="1"/>
      <c r="B47" s="7"/>
      <c r="C47" s="7"/>
      <c r="D47" s="7"/>
      <c r="E47" s="7"/>
      <c r="F47" s="7"/>
      <c r="G47" s="7"/>
      <c r="H47" s="7"/>
      <c r="I47" s="7"/>
      <c r="J47" s="7"/>
      <c r="K47" s="7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</row>
    <row r="48" spans="1:23" x14ac:dyDescent="0.3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</row>
    <row r="49" spans="1:23" x14ac:dyDescent="0.3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</row>
    <row r="50" spans="1:23" x14ac:dyDescent="0.3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</row>
    <row r="51" spans="1:23" x14ac:dyDescent="0.3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</row>
    <row r="52" spans="1:23" x14ac:dyDescent="0.3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</row>
    <row r="53" spans="1:23" x14ac:dyDescent="0.3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</row>
    <row r="54" spans="1:23" x14ac:dyDescent="0.3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</row>
    <row r="55" spans="1:23" x14ac:dyDescent="0.3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</row>
    <row r="56" spans="1:23" x14ac:dyDescent="0.3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</row>
    <row r="57" spans="1:23" x14ac:dyDescent="0.3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</row>
    <row r="58" spans="1:23" x14ac:dyDescent="0.3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</row>
    <row r="59" spans="1:23" x14ac:dyDescent="0.3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</row>
    <row r="60" spans="1:23" x14ac:dyDescent="0.3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</row>
    <row r="61" spans="1:23" x14ac:dyDescent="0.3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</row>
    <row r="62" spans="1:23" x14ac:dyDescent="0.3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</row>
    <row r="63" spans="1:23" x14ac:dyDescent="0.3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</row>
    <row r="64" spans="1:23" x14ac:dyDescent="0.3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</row>
    <row r="65" spans="1:22" x14ac:dyDescent="0.3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</row>
    <row r="66" spans="1:22" x14ac:dyDescent="0.3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</row>
    <row r="67" spans="1:22" x14ac:dyDescent="0.3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</row>
    <row r="68" spans="1:22" x14ac:dyDescent="0.3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</row>
    <row r="69" spans="1:22" x14ac:dyDescent="0.3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</row>
    <row r="70" spans="1:22" x14ac:dyDescent="0.3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</row>
    <row r="71" spans="1:22" x14ac:dyDescent="0.3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</row>
    <row r="72" spans="1:22" x14ac:dyDescent="0.3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</row>
    <row r="73" spans="1:22" x14ac:dyDescent="0.3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</row>
    <row r="74" spans="1:22" x14ac:dyDescent="0.3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</row>
    <row r="75" spans="1:22" x14ac:dyDescent="0.3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</row>
    <row r="76" spans="1:22" x14ac:dyDescent="0.3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</row>
    <row r="77" spans="1:22" x14ac:dyDescent="0.3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</row>
    <row r="78" spans="1:22" x14ac:dyDescent="0.3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</row>
    <row r="79" spans="1:22" x14ac:dyDescent="0.3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</row>
    <row r="80" spans="1:22" x14ac:dyDescent="0.3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</row>
    <row r="81" spans="1:22" x14ac:dyDescent="0.3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</row>
    <row r="82" spans="1:22" x14ac:dyDescent="0.3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</row>
    <row r="83" spans="1:22" x14ac:dyDescent="0.3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</row>
    <row r="84" spans="1:22" x14ac:dyDescent="0.3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</row>
    <row r="85" spans="1:22" x14ac:dyDescent="0.3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</row>
    <row r="86" spans="1:22" x14ac:dyDescent="0.3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</row>
    <row r="87" spans="1:22" x14ac:dyDescent="0.3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</row>
    <row r="88" spans="1:22" x14ac:dyDescent="0.3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</row>
    <row r="89" spans="1:22" x14ac:dyDescent="0.3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</row>
    <row r="90" spans="1:22" x14ac:dyDescent="0.3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</row>
    <row r="91" spans="1:22" x14ac:dyDescent="0.3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</row>
    <row r="92" spans="1:22" x14ac:dyDescent="0.3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</row>
    <row r="93" spans="1:22" x14ac:dyDescent="0.3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</row>
    <row r="94" spans="1:22" x14ac:dyDescent="0.3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</row>
    <row r="95" spans="1:22" x14ac:dyDescent="0.3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</row>
    <row r="96" spans="1:22" x14ac:dyDescent="0.3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</row>
    <row r="97" spans="1:22" x14ac:dyDescent="0.3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</row>
    <row r="98" spans="1:22" x14ac:dyDescent="0.3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</row>
    <row r="99" spans="1:22" x14ac:dyDescent="0.3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</row>
    <row r="100" spans="1:22" x14ac:dyDescent="0.3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</row>
    <row r="101" spans="1:22" x14ac:dyDescent="0.3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</row>
    <row r="102" spans="1:22" x14ac:dyDescent="0.3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</row>
    <row r="103" spans="1:22" x14ac:dyDescent="0.3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</row>
    <row r="104" spans="1:22" x14ac:dyDescent="0.3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</row>
    <row r="105" spans="1:22" x14ac:dyDescent="0.3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</row>
    <row r="106" spans="1:22" x14ac:dyDescent="0.3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</row>
    <row r="107" spans="1:22" x14ac:dyDescent="0.3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</row>
    <row r="108" spans="1:22" x14ac:dyDescent="0.3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</row>
    <row r="109" spans="1:22" x14ac:dyDescent="0.3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</row>
    <row r="110" spans="1:22" x14ac:dyDescent="0.3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</row>
    <row r="111" spans="1:22" x14ac:dyDescent="0.3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</row>
    <row r="112" spans="1:22" x14ac:dyDescent="0.3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</row>
    <row r="113" spans="1:22" x14ac:dyDescent="0.3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</row>
    <row r="114" spans="1:22" x14ac:dyDescent="0.3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</row>
    <row r="115" spans="1:22" x14ac:dyDescent="0.3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</row>
    <row r="116" spans="1:22" x14ac:dyDescent="0.3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</row>
    <row r="117" spans="1:22" x14ac:dyDescent="0.3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</row>
    <row r="118" spans="1:22" x14ac:dyDescent="0.3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</row>
    <row r="119" spans="1:22" x14ac:dyDescent="0.3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</row>
    <row r="120" spans="1:22" x14ac:dyDescent="0.3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</row>
    <row r="121" spans="1:22" x14ac:dyDescent="0.3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</row>
    <row r="122" spans="1:22" x14ac:dyDescent="0.3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</row>
    <row r="123" spans="1:22" x14ac:dyDescent="0.3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</row>
    <row r="124" spans="1:22" x14ac:dyDescent="0.3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</row>
    <row r="125" spans="1:22" x14ac:dyDescent="0.3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</row>
    <row r="126" spans="1:22" x14ac:dyDescent="0.3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</row>
    <row r="127" spans="1:22" x14ac:dyDescent="0.3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</row>
    <row r="128" spans="1:22" x14ac:dyDescent="0.3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</row>
    <row r="129" spans="1:22" x14ac:dyDescent="0.3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</row>
    <row r="130" spans="1:22" x14ac:dyDescent="0.3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</row>
    <row r="131" spans="1:22" x14ac:dyDescent="0.3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</row>
    <row r="132" spans="1:22" x14ac:dyDescent="0.3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</row>
    <row r="133" spans="1:22" x14ac:dyDescent="0.3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</row>
    <row r="134" spans="1:22" x14ac:dyDescent="0.3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</row>
    <row r="135" spans="1:22" x14ac:dyDescent="0.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</row>
    <row r="136" spans="1:22" x14ac:dyDescent="0.3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</row>
    <row r="137" spans="1:22" x14ac:dyDescent="0.3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</row>
    <row r="138" spans="1:22" x14ac:dyDescent="0.3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</row>
    <row r="139" spans="1:22" x14ac:dyDescent="0.3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</row>
    <row r="140" spans="1:22" x14ac:dyDescent="0.3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</row>
    <row r="141" spans="1:22" x14ac:dyDescent="0.3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</row>
    <row r="142" spans="1:22" x14ac:dyDescent="0.3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</row>
    <row r="143" spans="1:22" x14ac:dyDescent="0.3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</row>
    <row r="144" spans="1:22" x14ac:dyDescent="0.3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</row>
    <row r="145" spans="1:22" x14ac:dyDescent="0.3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</row>
    <row r="146" spans="1:22" x14ac:dyDescent="0.3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</row>
    <row r="147" spans="1:22" x14ac:dyDescent="0.3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</row>
    <row r="148" spans="1:22" x14ac:dyDescent="0.3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</row>
    <row r="149" spans="1:22" x14ac:dyDescent="0.3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</row>
    <row r="150" spans="1:22" x14ac:dyDescent="0.3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</row>
    <row r="151" spans="1:22" x14ac:dyDescent="0.3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</row>
    <row r="152" spans="1:22" x14ac:dyDescent="0.3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</row>
    <row r="153" spans="1:22" x14ac:dyDescent="0.3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</row>
    <row r="154" spans="1:22" x14ac:dyDescent="0.3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</row>
    <row r="155" spans="1:22" x14ac:dyDescent="0.3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</row>
    <row r="156" spans="1:22" x14ac:dyDescent="0.3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</row>
    <row r="157" spans="1:22" x14ac:dyDescent="0.3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</row>
    <row r="158" spans="1:22" x14ac:dyDescent="0.3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</row>
    <row r="159" spans="1:22" x14ac:dyDescent="0.3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</row>
    <row r="160" spans="1:22" x14ac:dyDescent="0.3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</row>
    <row r="161" spans="1:22" x14ac:dyDescent="0.3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</row>
    <row r="162" spans="1:22" x14ac:dyDescent="0.3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</row>
    <row r="163" spans="1:22" x14ac:dyDescent="0.3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</row>
    <row r="164" spans="1:22" x14ac:dyDescent="0.3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</row>
    <row r="165" spans="1:22" x14ac:dyDescent="0.3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</row>
    <row r="166" spans="1:22" x14ac:dyDescent="0.3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</row>
    <row r="167" spans="1:22" x14ac:dyDescent="0.3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</row>
    <row r="168" spans="1:22" x14ac:dyDescent="0.3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</row>
    <row r="169" spans="1:22" x14ac:dyDescent="0.3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</row>
    <row r="170" spans="1:22" x14ac:dyDescent="0.3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</row>
    <row r="171" spans="1:22" x14ac:dyDescent="0.3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</row>
    <row r="172" spans="1:22" x14ac:dyDescent="0.3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</row>
    <row r="173" spans="1:22" x14ac:dyDescent="0.3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</row>
    <row r="174" spans="1:22" x14ac:dyDescent="0.3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</row>
    <row r="175" spans="1:22" x14ac:dyDescent="0.3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</row>
    <row r="176" spans="1:22" x14ac:dyDescent="0.3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</row>
    <row r="177" spans="1:22" x14ac:dyDescent="0.3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</row>
    <row r="178" spans="1:22" x14ac:dyDescent="0.3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</row>
    <row r="179" spans="1:22" x14ac:dyDescent="0.3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</row>
    <row r="180" spans="1:22" x14ac:dyDescent="0.3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</row>
    <row r="181" spans="1:22" x14ac:dyDescent="0.3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</row>
    <row r="182" spans="1:22" x14ac:dyDescent="0.3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</row>
    <row r="183" spans="1:22" x14ac:dyDescent="0.3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</row>
    <row r="184" spans="1:22" x14ac:dyDescent="0.3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</row>
    <row r="185" spans="1:22" x14ac:dyDescent="0.3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</row>
    <row r="186" spans="1:22" x14ac:dyDescent="0.3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</row>
    <row r="187" spans="1:22" x14ac:dyDescent="0.3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</row>
    <row r="188" spans="1:22" x14ac:dyDescent="0.3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</row>
    <row r="189" spans="1:22" x14ac:dyDescent="0.3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</row>
    <row r="190" spans="1:22" x14ac:dyDescent="0.3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</row>
    <row r="191" spans="1:22" x14ac:dyDescent="0.3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</row>
    <row r="192" spans="1:22" x14ac:dyDescent="0.3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</row>
    <row r="193" spans="1:22" x14ac:dyDescent="0.3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</row>
    <row r="194" spans="1:22" x14ac:dyDescent="0.3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</row>
    <row r="195" spans="1:22" x14ac:dyDescent="0.3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</row>
    <row r="196" spans="1:22" x14ac:dyDescent="0.3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</row>
    <row r="197" spans="1:22" x14ac:dyDescent="0.3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</row>
    <row r="198" spans="1:22" x14ac:dyDescent="0.3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</row>
    <row r="199" spans="1:22" x14ac:dyDescent="0.3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</row>
    <row r="200" spans="1:22" x14ac:dyDescent="0.3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</row>
    <row r="201" spans="1:22" x14ac:dyDescent="0.3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</row>
    <row r="202" spans="1:22" x14ac:dyDescent="0.3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</row>
    <row r="203" spans="1:22" x14ac:dyDescent="0.3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</row>
    <row r="204" spans="1:22" x14ac:dyDescent="0.3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</row>
    <row r="205" spans="1:22" x14ac:dyDescent="0.3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</row>
    <row r="206" spans="1:22" x14ac:dyDescent="0.3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</row>
    <row r="207" spans="1:22" x14ac:dyDescent="0.3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</row>
    <row r="208" spans="1:22" x14ac:dyDescent="0.3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</row>
    <row r="209" spans="1:22" x14ac:dyDescent="0.3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</row>
    <row r="210" spans="1:22" x14ac:dyDescent="0.3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</row>
    <row r="211" spans="1:22" x14ac:dyDescent="0.3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</row>
    <row r="212" spans="1:22" x14ac:dyDescent="0.3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</row>
    <row r="213" spans="1:22" x14ac:dyDescent="0.3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</row>
    <row r="214" spans="1:22" x14ac:dyDescent="0.3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</row>
    <row r="215" spans="1:22" x14ac:dyDescent="0.3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</row>
    <row r="216" spans="1:22" x14ac:dyDescent="0.3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</row>
    <row r="217" spans="1:22" x14ac:dyDescent="0.3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</row>
    <row r="218" spans="1:22" x14ac:dyDescent="0.3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</row>
  </sheetData>
  <mergeCells count="38">
    <mergeCell ref="B10:K12"/>
    <mergeCell ref="J22:K22"/>
    <mergeCell ref="B8:K9"/>
    <mergeCell ref="B14:D14"/>
    <mergeCell ref="F14:K14"/>
    <mergeCell ref="B16:D16"/>
    <mergeCell ref="F16:K16"/>
    <mergeCell ref="B18:D18"/>
    <mergeCell ref="F18:K18"/>
    <mergeCell ref="D20:E20"/>
    <mergeCell ref="G20:H20"/>
    <mergeCell ref="J20:K20"/>
    <mergeCell ref="D22:E22"/>
    <mergeCell ref="G22:H22"/>
    <mergeCell ref="F24:G24"/>
    <mergeCell ref="B28:D28"/>
    <mergeCell ref="F28:K28"/>
    <mergeCell ref="B30:D30"/>
    <mergeCell ref="F30:G30"/>
    <mergeCell ref="J30:K30"/>
    <mergeCell ref="B26:D26"/>
    <mergeCell ref="F26:G26"/>
    <mergeCell ref="J24:K24"/>
    <mergeCell ref="J25:K25"/>
    <mergeCell ref="B24:D24"/>
    <mergeCell ref="B43:K43"/>
    <mergeCell ref="B45:K45"/>
    <mergeCell ref="B46:K46"/>
    <mergeCell ref="B32:K33"/>
    <mergeCell ref="B37:K37"/>
    <mergeCell ref="B39:K39"/>
    <mergeCell ref="B41:K41"/>
    <mergeCell ref="B42:K42"/>
    <mergeCell ref="B40:K40"/>
    <mergeCell ref="B44:K44"/>
    <mergeCell ref="B36:K36"/>
    <mergeCell ref="B38:K38"/>
    <mergeCell ref="B35:K35"/>
  </mergeCells>
  <pageMargins left="0.25" right="0.25" top="0.75" bottom="0.75" header="0.3" footer="0.3"/>
  <pageSetup paperSize="9" scale="98" orientation="portrait" r:id="rId1"/>
  <rowBreaks count="1" manualBreakCount="1">
    <brk id="46" max="11" man="1"/>
  </rowBreaks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74CA3E2-3D29-4BED-87B0-43B56DD9D8EF}">
          <x14:formula1>
            <xm:f>#REF!</xm:f>
          </x14:formula1>
          <xm:sqref>J22:K22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OC Padrão</vt:lpstr>
      <vt:lpstr>'OC Padrão'!Area_de_impressao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MATHIAS GUTIERREZ BARRON</dc:creator>
  <cp:keywords/>
  <dc:description/>
  <cp:lastModifiedBy>DAVI ASAF DE OLIVEIRA SANTOS SILVA</cp:lastModifiedBy>
  <cp:revision/>
  <cp:lastPrinted>2026-03-04T18:23:06Z</cp:lastPrinted>
  <dcterms:created xsi:type="dcterms:W3CDTF">2024-02-02T23:00:25Z</dcterms:created>
  <dcterms:modified xsi:type="dcterms:W3CDTF">2026-03-04T18:24:07Z</dcterms:modified>
  <cp:category/>
  <cp:contentStatus/>
</cp:coreProperties>
</file>